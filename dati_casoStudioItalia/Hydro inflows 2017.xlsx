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0954659\PycharmProjects\DrinDrin---Mix-energetico\dati_casoStudioItalia\"/>
    </mc:Choice>
  </mc:AlternateContent>
  <xr:revisionPtr revIDLastSave="0" documentId="13_ncr:1_{4E73A9EE-5DF6-4567-A191-C19D8F4D8C43}" xr6:coauthVersionLast="47" xr6:coauthVersionMax="47" xr10:uidLastSave="{00000000-0000-0000-0000-000000000000}"/>
  <bookViews>
    <workbookView xWindow="-46188" yWindow="2640" windowWidth="23256" windowHeight="12456" activeTab="1" xr2:uid="{92FCA223-964B-46AD-B6BA-58318D23218B}"/>
  </bookViews>
  <sheets>
    <sheet name="Hydro_inflows" sheetId="1" r:id="rId1"/>
    <sheet name="run_of_river" sheetId="3" r:id="rId2"/>
    <sheet name="pumped_storage_open_inflows" sheetId="4" r:id="rId3"/>
    <sheet name="Inf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B21" i="2"/>
  <c r="C22" i="2"/>
  <c r="D22" i="2"/>
  <c r="E22" i="2"/>
  <c r="F22" i="2"/>
  <c r="G22" i="2"/>
  <c r="H22" i="2"/>
  <c r="B22" i="2"/>
  <c r="C20" i="2"/>
  <c r="D20" i="2"/>
  <c r="E20" i="2"/>
  <c r="F20" i="2"/>
  <c r="G20" i="2"/>
  <c r="H20" i="2"/>
  <c r="B20" i="2"/>
  <c r="C19" i="2"/>
  <c r="D19" i="2"/>
  <c r="E19" i="2"/>
  <c r="F19" i="2"/>
  <c r="G19" i="2"/>
  <c r="H19" i="2"/>
  <c r="B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B1" authorId="0" shapeId="0" xr:uid="{F811BD84-8F19-473E-81E8-F6F1C9A9D0E3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Hydro inflows 2017 from datasetTWNDP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B1" authorId="0" shapeId="0" xr:uid="{087EF365-2A10-401C-AEBB-7E54323F0E77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Run of river inflows 2017 from datasetTWNDP 2024, GWh/day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B1" authorId="0" shapeId="0" xr:uid="{B1A36D19-18A8-46E2-8ECC-A5D613553F95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Run of river inflows 2017 from datasetTWNDP 2024, GWh/day</t>
        </r>
      </text>
    </comment>
    <comment ref="A2" authorId="0" shapeId="0" xr:uid="{C90BCDC3-8BA4-4F26-9E62-6255369B8205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Run of river inflows 2017 from datasetTWNDP 2024, GWh/day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B3" authorId="0" shapeId="0" xr:uid="{12BFB97B-CD53-4317-83C9-BBC1D5356145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Run of river inflows 2017 from datasetTWNDP 2024, GWh/day</t>
        </r>
      </text>
    </comment>
  </commentList>
</comments>
</file>

<file path=xl/sharedStrings.xml><?xml version="1.0" encoding="utf-8"?>
<sst xmlns="http://schemas.openxmlformats.org/spreadsheetml/2006/main" count="45" uniqueCount="24">
  <si>
    <t>NORD</t>
  </si>
  <si>
    <t>CALA</t>
  </si>
  <si>
    <t>CNOR</t>
  </si>
  <si>
    <t>CSUD</t>
  </si>
  <si>
    <t>SARD</t>
  </si>
  <si>
    <t>SICI</t>
  </si>
  <si>
    <t>SUD</t>
  </si>
  <si>
    <t>Data in GWh/week - TYNDP 2024, data for 2017, Reservoir Year-Dependent</t>
  </si>
  <si>
    <t>Run of River - MW</t>
  </si>
  <si>
    <t>Pondage - MW</t>
  </si>
  <si>
    <t>Pondage - GWh</t>
  </si>
  <si>
    <t>Reservoir - MW</t>
  </si>
  <si>
    <t>Reservoir - GWh</t>
  </si>
  <si>
    <t>PS Open (turbine) - MW</t>
  </si>
  <si>
    <t>PS Open (pump) - MW</t>
  </si>
  <si>
    <t>PS Open - GWh</t>
  </si>
  <si>
    <t>PS Closed (turbine) - MW</t>
  </si>
  <si>
    <t>PS Closed (pump) - MW</t>
  </si>
  <si>
    <t>PS Closed - GWh</t>
  </si>
  <si>
    <t>PS size</t>
  </si>
  <si>
    <t>PS out</t>
  </si>
  <si>
    <t>PS in</t>
  </si>
  <si>
    <t>PS out ratio</t>
  </si>
  <si>
    <t>PS in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</si>
</sst>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238"/>
    </font>
    <font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  <charset val="238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" fontId="1" fillId="0" borderId="1">
      <alignment horizontal="right" vertical="top" wrapText="1"/>
    </xf>
    <xf numFmtId="0" fontId="5" fillId="2" borderId="1">
      <alignment horizontal="left"/>
    </xf>
    <xf numFmtId="49" fontId="1" fillId="0" borderId="1">
      <alignment horizontal="right"/>
    </xf>
    <xf numFmtId="1" fontId="7" fillId="0" borderId="1">
      <alignment horizontal="right" vertical="top" wrapText="1"/>
    </xf>
  </cellStyleXfs>
  <cellXfs count="9">
    <xf numFmtId="0" fontId="0" fillId="0" borderId="0" xfId="0"/>
    <xf numFmtId="164" fontId="2" fillId="0" borderId="2" xfId="1" applyNumberFormat="1" applyFont="1" applyBorder="1" applyAlignment="1">
      <alignment horizontal="right" vertical="center" wrapText="1"/>
    </xf>
    <xf numFmtId="164" fontId="2" fillId="0" borderId="0" xfId="1" applyNumberFormat="1" applyFont="1" applyBorder="1" applyAlignment="1">
      <alignment horizontal="right" vertical="center" wrapText="1"/>
    </xf>
    <xf numFmtId="0" fontId="6" fillId="3" borderId="1" xfId="2" applyFont="1" applyFill="1" applyAlignment="1">
      <alignment horizontal="right"/>
    </xf>
    <xf numFmtId="1" fontId="2" fillId="3" borderId="1" xfId="3" applyNumberFormat="1" applyFont="1" applyFill="1">
      <alignment horizontal="right"/>
    </xf>
    <xf numFmtId="0" fontId="6" fillId="4" borderId="1" xfId="2" applyFont="1" applyFill="1" applyAlignment="1">
      <alignment horizontal="right"/>
    </xf>
    <xf numFmtId="1" fontId="2" fillId="4" borderId="1" xfId="3" applyNumberFormat="1" applyFont="1" applyFill="1">
      <alignment horizontal="right"/>
    </xf>
    <xf numFmtId="164" fontId="2" fillId="0" borderId="0" xfId="1" applyNumberFormat="1" applyFont="1" applyFill="1" applyBorder="1" applyAlignment="1">
      <alignment horizontal="right" vertical="center" wrapText="1"/>
    </xf>
    <xf numFmtId="1" fontId="0" fillId="0" borderId="0" xfId="0" applyNumberFormat="1"/>
  </cellXfs>
  <cellStyles count="5">
    <cellStyle name="Normal" xfId="0" builtinId="0"/>
    <cellStyle name="Style 171 2" xfId="4" xr:uid="{F0DA3AB7-4EBD-481C-A3F8-6D90BD57D38D}"/>
    <cellStyle name="Style 201" xfId="1" xr:uid="{874B0D4E-D4A2-4239-BB72-1F3A02BFA0ED}"/>
    <cellStyle name="Style 24" xfId="3" xr:uid="{C03F5525-317B-4224-9997-1986E937FF6B}"/>
    <cellStyle name="Style 58" xfId="2" xr:uid="{137B04AF-8668-49B8-9156-78FE51D3E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2086-3617-4245-B76A-3A42AFC8BB10}">
  <dimension ref="A1:H54"/>
  <sheetViews>
    <sheetView workbookViewId="0">
      <selection activeCell="K14" sqref="K14"/>
    </sheetView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s="1">
        <v>182.04785899086809</v>
      </c>
      <c r="C2" s="1">
        <v>6.9261845639864106</v>
      </c>
      <c r="D2" s="1">
        <v>19.240104889383719</v>
      </c>
      <c r="E2" s="1">
        <v>18.378093396825399</v>
      </c>
      <c r="F2" s="1">
        <v>0</v>
      </c>
      <c r="G2" s="1">
        <v>0</v>
      </c>
      <c r="H2">
        <v>0</v>
      </c>
    </row>
    <row r="3" spans="1:8" x14ac:dyDescent="0.3">
      <c r="A3">
        <v>2</v>
      </c>
      <c r="B3" s="2">
        <v>178.17086439927621</v>
      </c>
      <c r="C3" s="2">
        <v>14.13759867497169</v>
      </c>
      <c r="D3" s="2">
        <v>28.636447825252102</v>
      </c>
      <c r="E3" s="2">
        <v>24.71747812698413</v>
      </c>
      <c r="F3" s="1">
        <v>0</v>
      </c>
      <c r="G3" s="1">
        <v>0</v>
      </c>
      <c r="H3">
        <v>0</v>
      </c>
    </row>
    <row r="4" spans="1:8" x14ac:dyDescent="0.3">
      <c r="A4">
        <v>3</v>
      </c>
      <c r="B4" s="2">
        <v>229.24466091991749</v>
      </c>
      <c r="C4" s="2">
        <v>21.393979422423559</v>
      </c>
      <c r="D4" s="2">
        <v>41.540201700606772</v>
      </c>
      <c r="E4" s="2">
        <v>37.254718616780053</v>
      </c>
      <c r="F4" s="1">
        <v>0</v>
      </c>
      <c r="G4" s="1">
        <v>0</v>
      </c>
      <c r="H4">
        <v>0</v>
      </c>
    </row>
    <row r="5" spans="1:8" x14ac:dyDescent="0.3">
      <c r="A5">
        <v>4</v>
      </c>
      <c r="B5" s="2">
        <v>231.97528980123161</v>
      </c>
      <c r="C5" s="2">
        <v>15.550080079275199</v>
      </c>
      <c r="D5" s="2">
        <v>35.895610081881181</v>
      </c>
      <c r="E5" s="2">
        <v>31.707260036281181</v>
      </c>
      <c r="F5" s="1">
        <v>0</v>
      </c>
      <c r="G5" s="1">
        <v>0</v>
      </c>
      <c r="H5">
        <v>0</v>
      </c>
    </row>
    <row r="6" spans="1:8" x14ac:dyDescent="0.3">
      <c r="A6">
        <v>5</v>
      </c>
      <c r="B6" s="2">
        <v>209.0177143890362</v>
      </c>
      <c r="C6" s="2">
        <v>11.688239535673841</v>
      </c>
      <c r="D6" s="2">
        <v>40.530846198306797</v>
      </c>
      <c r="E6" s="2">
        <v>59.895378367346943</v>
      </c>
      <c r="F6" s="1">
        <v>0</v>
      </c>
      <c r="G6" s="1">
        <v>0</v>
      </c>
      <c r="H6">
        <v>0</v>
      </c>
    </row>
    <row r="7" spans="1:8" x14ac:dyDescent="0.3">
      <c r="A7">
        <v>6</v>
      </c>
      <c r="B7" s="2">
        <v>150.6678777429897</v>
      </c>
      <c r="C7" s="2">
        <v>10.86649629671574</v>
      </c>
      <c r="D7" s="2">
        <v>35.393747868471657</v>
      </c>
      <c r="E7" s="2">
        <v>40.697530090702962</v>
      </c>
      <c r="F7" s="1">
        <v>0</v>
      </c>
      <c r="G7" s="1">
        <v>0</v>
      </c>
      <c r="H7">
        <v>0</v>
      </c>
    </row>
    <row r="8" spans="1:8" x14ac:dyDescent="0.3">
      <c r="A8">
        <v>7</v>
      </c>
      <c r="B8" s="2">
        <v>162.8355529178414</v>
      </c>
      <c r="C8" s="2">
        <v>20.732705356738389</v>
      </c>
      <c r="D8" s="2">
        <v>64.607049721719065</v>
      </c>
      <c r="E8" s="2">
        <v>36.063648965986403</v>
      </c>
      <c r="F8" s="1">
        <v>0</v>
      </c>
      <c r="G8" s="1">
        <v>0</v>
      </c>
      <c r="H8">
        <v>0</v>
      </c>
    </row>
    <row r="9" spans="1:8" x14ac:dyDescent="0.3">
      <c r="A9">
        <v>8</v>
      </c>
      <c r="B9" s="2">
        <v>140.71550090112069</v>
      </c>
      <c r="C9" s="2">
        <v>29.77805287655719</v>
      </c>
      <c r="D9" s="2">
        <v>63.064421126937248</v>
      </c>
      <c r="E9" s="2">
        <v>24.670566839002259</v>
      </c>
      <c r="F9" s="1">
        <v>0</v>
      </c>
      <c r="G9" s="1">
        <v>0</v>
      </c>
      <c r="H9">
        <v>0</v>
      </c>
    </row>
    <row r="10" spans="1:8" x14ac:dyDescent="0.3">
      <c r="A10">
        <v>9</v>
      </c>
      <c r="B10" s="2">
        <v>141.50229227370281</v>
      </c>
      <c r="C10" s="2">
        <v>22.10639201585504</v>
      </c>
      <c r="D10" s="2">
        <v>49.232132796661979</v>
      </c>
      <c r="E10" s="2">
        <v>20.815095052154199</v>
      </c>
      <c r="F10" s="1">
        <v>0</v>
      </c>
      <c r="G10" s="1">
        <v>0</v>
      </c>
      <c r="H10">
        <v>0</v>
      </c>
    </row>
    <row r="11" spans="1:8" x14ac:dyDescent="0.3">
      <c r="A11">
        <v>10</v>
      </c>
      <c r="B11" s="2">
        <v>143.58230521230479</v>
      </c>
      <c r="C11" s="2">
        <v>30.43932694224236</v>
      </c>
      <c r="D11" s="2">
        <v>65.914738420785838</v>
      </c>
      <c r="E11" s="2">
        <v>18.291426780045349</v>
      </c>
      <c r="F11" s="1">
        <v>0</v>
      </c>
      <c r="G11" s="1">
        <v>0</v>
      </c>
      <c r="H11">
        <v>0</v>
      </c>
    </row>
    <row r="12" spans="1:8" x14ac:dyDescent="0.3">
      <c r="A12">
        <v>11</v>
      </c>
      <c r="B12" s="2">
        <v>158.85887435144269</v>
      </c>
      <c r="C12" s="2">
        <v>28.65036016987543</v>
      </c>
      <c r="D12" s="2">
        <v>68.858788330691894</v>
      </c>
      <c r="E12" s="2">
        <v>23.832524507936508</v>
      </c>
      <c r="F12" s="1">
        <v>0</v>
      </c>
      <c r="G12" s="1">
        <v>0</v>
      </c>
      <c r="H12">
        <v>0</v>
      </c>
    </row>
    <row r="13" spans="1:8" x14ac:dyDescent="0.3">
      <c r="A13">
        <v>12</v>
      </c>
      <c r="B13" s="2">
        <v>183.77007766275301</v>
      </c>
      <c r="C13" s="2">
        <v>21.38868922989807</v>
      </c>
      <c r="D13" s="2">
        <v>51.011065038600528</v>
      </c>
      <c r="E13" s="2">
        <v>25.221575696145131</v>
      </c>
      <c r="F13" s="1">
        <v>0</v>
      </c>
      <c r="G13" s="1">
        <v>0</v>
      </c>
      <c r="H13">
        <v>0</v>
      </c>
    </row>
    <row r="14" spans="1:8" x14ac:dyDescent="0.3">
      <c r="A14">
        <v>13</v>
      </c>
      <c r="B14" s="2">
        <v>189.0292973692996</v>
      </c>
      <c r="C14" s="2">
        <v>18.709206715741789</v>
      </c>
      <c r="D14" s="2">
        <v>47.365774263588193</v>
      </c>
      <c r="E14" s="2">
        <v>24.281759723356011</v>
      </c>
      <c r="F14" s="1">
        <v>0</v>
      </c>
      <c r="G14" s="1">
        <v>0</v>
      </c>
      <c r="H14">
        <v>0</v>
      </c>
    </row>
    <row r="15" spans="1:8" x14ac:dyDescent="0.3">
      <c r="A15">
        <v>14</v>
      </c>
      <c r="B15" s="2">
        <v>198.6238799444514</v>
      </c>
      <c r="C15" s="2">
        <v>15.411653374858441</v>
      </c>
      <c r="D15" s="2">
        <v>40.35760853502719</v>
      </c>
      <c r="E15" s="2">
        <v>18.22225250793651</v>
      </c>
      <c r="F15" s="1">
        <v>0</v>
      </c>
      <c r="G15" s="1">
        <v>0</v>
      </c>
      <c r="H15">
        <v>0</v>
      </c>
    </row>
    <row r="16" spans="1:8" x14ac:dyDescent="0.3">
      <c r="A16">
        <v>15</v>
      </c>
      <c r="B16" s="2">
        <v>206.001384115642</v>
      </c>
      <c r="C16" s="2">
        <v>12.37949135900339</v>
      </c>
      <c r="D16" s="2">
        <v>33.554919738942651</v>
      </c>
      <c r="E16" s="2">
        <v>16.74176406349207</v>
      </c>
      <c r="F16" s="1">
        <v>0</v>
      </c>
      <c r="G16" s="1">
        <v>0</v>
      </c>
      <c r="H16">
        <v>0</v>
      </c>
    </row>
    <row r="17" spans="1:8" x14ac:dyDescent="0.3">
      <c r="A17">
        <v>16</v>
      </c>
      <c r="B17" s="2">
        <v>188.98034541738559</v>
      </c>
      <c r="C17" s="2">
        <v>10.1003000792752</v>
      </c>
      <c r="D17" s="2">
        <v>25.19254335946539</v>
      </c>
      <c r="E17" s="2">
        <v>15.02274364625851</v>
      </c>
      <c r="F17" s="1">
        <v>0</v>
      </c>
      <c r="G17" s="1">
        <v>0</v>
      </c>
      <c r="H17">
        <v>0</v>
      </c>
    </row>
    <row r="18" spans="1:8" x14ac:dyDescent="0.3">
      <c r="A18">
        <v>17</v>
      </c>
      <c r="B18" s="2">
        <v>188.44543408828849</v>
      </c>
      <c r="C18" s="2">
        <v>9.4385851642129115</v>
      </c>
      <c r="D18" s="2">
        <v>25.42597183236558</v>
      </c>
      <c r="E18" s="2">
        <v>13.6575456553288</v>
      </c>
      <c r="F18" s="1">
        <v>0</v>
      </c>
      <c r="G18" s="1">
        <v>0</v>
      </c>
      <c r="H18">
        <v>0</v>
      </c>
    </row>
    <row r="19" spans="1:8" x14ac:dyDescent="0.3">
      <c r="A19">
        <v>18</v>
      </c>
      <c r="B19" s="2">
        <v>218.74313218112189</v>
      </c>
      <c r="C19" s="2">
        <v>13.48999093997735</v>
      </c>
      <c r="D19" s="2">
        <v>29.370116440396181</v>
      </c>
      <c r="E19" s="2">
        <v>14.58225460317461</v>
      </c>
      <c r="F19" s="1">
        <v>0</v>
      </c>
      <c r="G19" s="1">
        <v>0</v>
      </c>
      <c r="H19">
        <v>0</v>
      </c>
    </row>
    <row r="20" spans="1:8" x14ac:dyDescent="0.3">
      <c r="A20">
        <v>19</v>
      </c>
      <c r="B20" s="2">
        <v>203.28232569568931</v>
      </c>
      <c r="C20" s="2">
        <v>15.116284292185741</v>
      </c>
      <c r="D20" s="2">
        <v>31.835616650547369</v>
      </c>
      <c r="E20" s="2">
        <v>15.5705720770975</v>
      </c>
      <c r="F20" s="1">
        <v>0</v>
      </c>
      <c r="G20" s="1">
        <v>0</v>
      </c>
      <c r="H20">
        <v>0</v>
      </c>
    </row>
    <row r="21" spans="1:8" x14ac:dyDescent="0.3">
      <c r="A21">
        <v>20</v>
      </c>
      <c r="B21" s="2">
        <v>199.63318018937011</v>
      </c>
      <c r="C21" s="2">
        <v>16.159333918459801</v>
      </c>
      <c r="D21" s="2">
        <v>32.669819599952781</v>
      </c>
      <c r="E21" s="2">
        <v>15.024333859410429</v>
      </c>
      <c r="F21" s="1">
        <v>0</v>
      </c>
      <c r="G21" s="1">
        <v>0</v>
      </c>
      <c r="H21">
        <v>0</v>
      </c>
    </row>
    <row r="22" spans="1:8" x14ac:dyDescent="0.3">
      <c r="A22">
        <v>21</v>
      </c>
      <c r="B22" s="2">
        <v>286.66263040861838</v>
      </c>
      <c r="C22" s="2">
        <v>20.493324144960361</v>
      </c>
      <c r="D22" s="2">
        <v>37.048764475401548</v>
      </c>
      <c r="E22" s="2">
        <v>16.56843082993198</v>
      </c>
      <c r="F22" s="1">
        <v>0</v>
      </c>
      <c r="G22" s="1">
        <v>0</v>
      </c>
      <c r="H22">
        <v>0</v>
      </c>
    </row>
    <row r="23" spans="1:8" x14ac:dyDescent="0.3">
      <c r="A23">
        <v>22</v>
      </c>
      <c r="B23" s="2">
        <v>288.44626152926821</v>
      </c>
      <c r="C23" s="2">
        <v>15.4204703624009</v>
      </c>
      <c r="D23" s="2">
        <v>31.919407533319909</v>
      </c>
      <c r="E23" s="2">
        <v>17.908185410430839</v>
      </c>
      <c r="F23" s="1">
        <v>0</v>
      </c>
      <c r="G23" s="1">
        <v>0</v>
      </c>
      <c r="H23">
        <v>0</v>
      </c>
    </row>
    <row r="24" spans="1:8" x14ac:dyDescent="0.3">
      <c r="A24">
        <v>23</v>
      </c>
      <c r="B24" s="2">
        <v>286.42232082649502</v>
      </c>
      <c r="C24" s="2">
        <v>15.26881817667044</v>
      </c>
      <c r="D24" s="2">
        <v>31.829323367826198</v>
      </c>
      <c r="E24" s="2">
        <v>20.361089197278911</v>
      </c>
      <c r="F24" s="1">
        <v>0</v>
      </c>
      <c r="G24" s="1">
        <v>0</v>
      </c>
      <c r="H24">
        <v>0</v>
      </c>
    </row>
    <row r="25" spans="1:8" x14ac:dyDescent="0.3">
      <c r="A25">
        <v>24</v>
      </c>
      <c r="B25" s="2">
        <v>314.62665544838609</v>
      </c>
      <c r="C25" s="2">
        <v>18.330517100792751</v>
      </c>
      <c r="D25" s="2">
        <v>34.250348199901843</v>
      </c>
      <c r="E25" s="2">
        <v>19.808490126984129</v>
      </c>
      <c r="F25" s="1">
        <v>0</v>
      </c>
      <c r="G25" s="1">
        <v>0</v>
      </c>
      <c r="H25">
        <v>0</v>
      </c>
    </row>
    <row r="26" spans="1:8" x14ac:dyDescent="0.3">
      <c r="A26">
        <v>25</v>
      </c>
      <c r="B26" s="2">
        <v>340.93254437150182</v>
      </c>
      <c r="C26" s="2">
        <v>20.109785186862968</v>
      </c>
      <c r="D26" s="2">
        <v>35.488843604896559</v>
      </c>
      <c r="E26" s="2">
        <v>19.15968316099773</v>
      </c>
      <c r="F26" s="1">
        <v>0</v>
      </c>
      <c r="G26" s="1">
        <v>0</v>
      </c>
      <c r="H26">
        <v>0</v>
      </c>
    </row>
    <row r="27" spans="1:8" x14ac:dyDescent="0.3">
      <c r="A27">
        <v>26</v>
      </c>
      <c r="B27" s="2">
        <v>345.24476631738412</v>
      </c>
      <c r="C27" s="2">
        <v>14.58946928652321</v>
      </c>
      <c r="D27" s="2">
        <v>25.344744583531028</v>
      </c>
      <c r="E27" s="2">
        <v>19.145371242630389</v>
      </c>
      <c r="F27" s="1">
        <v>0</v>
      </c>
      <c r="G27" s="1">
        <v>0</v>
      </c>
      <c r="H27">
        <v>0</v>
      </c>
    </row>
    <row r="28" spans="1:8" x14ac:dyDescent="0.3">
      <c r="A28">
        <v>27</v>
      </c>
      <c r="B28" s="2">
        <v>350.65618209260901</v>
      </c>
      <c r="C28" s="2">
        <v>12.33672896942242</v>
      </c>
      <c r="D28" s="2">
        <v>24.452895736573769</v>
      </c>
      <c r="E28" s="2">
        <v>21.079070435374149</v>
      </c>
      <c r="F28" s="1">
        <v>0</v>
      </c>
      <c r="G28" s="1">
        <v>0</v>
      </c>
      <c r="H28">
        <v>0</v>
      </c>
    </row>
    <row r="29" spans="1:8" x14ac:dyDescent="0.3">
      <c r="A29">
        <v>28</v>
      </c>
      <c r="B29" s="2">
        <v>364.62350902691861</v>
      </c>
      <c r="C29" s="2">
        <v>13.30527505096263</v>
      </c>
      <c r="D29" s="2">
        <v>23.665851703288311</v>
      </c>
      <c r="E29" s="2">
        <v>21.519559478458049</v>
      </c>
      <c r="F29" s="1">
        <v>0</v>
      </c>
      <c r="G29" s="1">
        <v>0</v>
      </c>
      <c r="H29">
        <v>0</v>
      </c>
    </row>
    <row r="30" spans="1:8" x14ac:dyDescent="0.3">
      <c r="A30">
        <v>29</v>
      </c>
      <c r="B30" s="2">
        <v>334.7601482528861</v>
      </c>
      <c r="C30" s="2">
        <v>13.85633677236693</v>
      </c>
      <c r="D30" s="2">
        <v>23.75566408614084</v>
      </c>
      <c r="E30" s="2">
        <v>18.80824605442178</v>
      </c>
      <c r="F30" s="1">
        <v>0</v>
      </c>
      <c r="G30" s="1">
        <v>0</v>
      </c>
      <c r="H30">
        <v>0</v>
      </c>
    </row>
    <row r="31" spans="1:8" x14ac:dyDescent="0.3">
      <c r="A31">
        <v>30</v>
      </c>
      <c r="B31" s="2">
        <v>345.07298946794032</v>
      </c>
      <c r="C31" s="2">
        <v>9.8137479841449586</v>
      </c>
      <c r="D31" s="2">
        <v>20.279848089048091</v>
      </c>
      <c r="E31" s="2">
        <v>18.324821256235829</v>
      </c>
      <c r="F31" s="1">
        <v>0</v>
      </c>
      <c r="G31" s="1">
        <v>0</v>
      </c>
      <c r="H31">
        <v>0</v>
      </c>
    </row>
    <row r="32" spans="1:8" x14ac:dyDescent="0.3">
      <c r="A32">
        <v>31</v>
      </c>
      <c r="B32" s="2">
        <v>353.64225115936529</v>
      </c>
      <c r="C32" s="2">
        <v>9.142775232163082</v>
      </c>
      <c r="D32" s="2">
        <v>20.479953107199901</v>
      </c>
      <c r="E32" s="2">
        <v>18.785187963718819</v>
      </c>
      <c r="F32" s="1">
        <v>0</v>
      </c>
      <c r="G32" s="1">
        <v>0</v>
      </c>
      <c r="H32">
        <v>0</v>
      </c>
    </row>
    <row r="33" spans="1:8" x14ac:dyDescent="0.3">
      <c r="A33">
        <v>32</v>
      </c>
      <c r="B33" s="2">
        <v>350.29037750648757</v>
      </c>
      <c r="C33" s="2">
        <v>9.9676044167610414</v>
      </c>
      <c r="D33" s="2">
        <v>20.324486494636741</v>
      </c>
      <c r="E33" s="2">
        <v>19.08255782312925</v>
      </c>
      <c r="F33" s="1">
        <v>0</v>
      </c>
      <c r="G33" s="1">
        <v>0</v>
      </c>
      <c r="H33">
        <v>0</v>
      </c>
    </row>
    <row r="34" spans="1:8" x14ac:dyDescent="0.3">
      <c r="A34">
        <v>33</v>
      </c>
      <c r="B34" s="2">
        <v>310.26103137314311</v>
      </c>
      <c r="C34" s="2">
        <v>8.1927448244620606</v>
      </c>
      <c r="D34" s="2">
        <v>15.178944181056229</v>
      </c>
      <c r="E34" s="2">
        <v>19.023719936507931</v>
      </c>
      <c r="F34" s="1">
        <v>0</v>
      </c>
      <c r="G34" s="1">
        <v>0</v>
      </c>
      <c r="H34">
        <v>0</v>
      </c>
    </row>
    <row r="35" spans="1:8" x14ac:dyDescent="0.3">
      <c r="A35">
        <v>34</v>
      </c>
      <c r="B35" s="2">
        <v>297.57268543702389</v>
      </c>
      <c r="C35" s="2">
        <v>8.1257357191392963</v>
      </c>
      <c r="D35" s="2">
        <v>15.684887761961029</v>
      </c>
      <c r="E35" s="2">
        <v>19.284514893424031</v>
      </c>
      <c r="F35" s="1">
        <v>0</v>
      </c>
      <c r="G35" s="1">
        <v>0</v>
      </c>
      <c r="H35">
        <v>0</v>
      </c>
    </row>
    <row r="36" spans="1:8" x14ac:dyDescent="0.3">
      <c r="A36">
        <v>35</v>
      </c>
      <c r="B36" s="2">
        <v>302.99923181556761</v>
      </c>
      <c r="C36" s="2">
        <v>7.7593898867497169</v>
      </c>
      <c r="D36" s="2">
        <v>15.17250217517152</v>
      </c>
      <c r="E36" s="2">
        <v>16.950081986394562</v>
      </c>
      <c r="F36" s="1">
        <v>0</v>
      </c>
      <c r="G36" s="1">
        <v>0</v>
      </c>
      <c r="H36">
        <v>0</v>
      </c>
    </row>
    <row r="37" spans="1:8" x14ac:dyDescent="0.3">
      <c r="A37">
        <v>36</v>
      </c>
      <c r="B37" s="2">
        <v>321.66060592068902</v>
      </c>
      <c r="C37" s="2">
        <v>8.8769430577576429</v>
      </c>
      <c r="D37" s="2">
        <v>15.76584659388371</v>
      </c>
      <c r="E37" s="2">
        <v>15.69778912925171</v>
      </c>
      <c r="F37" s="1">
        <v>0</v>
      </c>
      <c r="G37" s="1">
        <v>0</v>
      </c>
      <c r="H37">
        <v>0</v>
      </c>
    </row>
    <row r="38" spans="1:8" x14ac:dyDescent="0.3">
      <c r="A38">
        <v>37</v>
      </c>
      <c r="B38" s="2">
        <v>305.20918993561418</v>
      </c>
      <c r="C38" s="2">
        <v>8.3796649603624012</v>
      </c>
      <c r="D38" s="2">
        <v>13.64659957215777</v>
      </c>
      <c r="E38" s="2">
        <v>15.96812536507937</v>
      </c>
      <c r="F38" s="1">
        <v>0</v>
      </c>
      <c r="G38" s="1">
        <v>0</v>
      </c>
      <c r="H38">
        <v>0</v>
      </c>
    </row>
    <row r="39" spans="1:8" x14ac:dyDescent="0.3">
      <c r="A39">
        <v>38</v>
      </c>
      <c r="B39" s="2">
        <v>339.49869719816508</v>
      </c>
      <c r="C39" s="2">
        <v>8.665776206115515</v>
      </c>
      <c r="D39" s="2">
        <v>18.72496802924762</v>
      </c>
      <c r="E39" s="2">
        <v>16.664638725623579</v>
      </c>
      <c r="F39" s="1">
        <v>0</v>
      </c>
      <c r="G39" s="1">
        <v>0</v>
      </c>
      <c r="H39">
        <v>0</v>
      </c>
    </row>
    <row r="40" spans="1:8" x14ac:dyDescent="0.3">
      <c r="A40">
        <v>39</v>
      </c>
      <c r="B40" s="2">
        <v>304.74904158762217</v>
      </c>
      <c r="C40" s="2">
        <v>8.249614394110985</v>
      </c>
      <c r="D40" s="2">
        <v>19.76977623079587</v>
      </c>
      <c r="E40" s="2">
        <v>17.498705523809519</v>
      </c>
      <c r="F40" s="1">
        <v>0</v>
      </c>
      <c r="G40" s="1">
        <v>0</v>
      </c>
      <c r="H40">
        <v>0</v>
      </c>
    </row>
    <row r="41" spans="1:8" x14ac:dyDescent="0.3">
      <c r="A41">
        <v>40</v>
      </c>
      <c r="B41" s="2">
        <v>253.97963720433719</v>
      </c>
      <c r="C41" s="2">
        <v>8.1314667610419029</v>
      </c>
      <c r="D41" s="2">
        <v>20.465970184813269</v>
      </c>
      <c r="E41" s="2">
        <v>13.49534391383219</v>
      </c>
      <c r="F41" s="1">
        <v>0</v>
      </c>
      <c r="G41" s="1">
        <v>0</v>
      </c>
      <c r="H41">
        <v>0</v>
      </c>
    </row>
    <row r="42" spans="1:8" x14ac:dyDescent="0.3">
      <c r="A42">
        <v>41</v>
      </c>
      <c r="B42" s="2">
        <v>231.75545103536311</v>
      </c>
      <c r="C42" s="2">
        <v>8.3130967044167612</v>
      </c>
      <c r="D42" s="2">
        <v>18.67974735248967</v>
      </c>
      <c r="E42" s="2">
        <v>10.68941280725624</v>
      </c>
      <c r="F42" s="1">
        <v>0</v>
      </c>
      <c r="G42" s="1">
        <v>0</v>
      </c>
      <c r="H42">
        <v>0</v>
      </c>
    </row>
    <row r="43" spans="1:8" x14ac:dyDescent="0.3">
      <c r="A43">
        <v>42</v>
      </c>
      <c r="B43" s="2">
        <v>205.62489910364849</v>
      </c>
      <c r="C43" s="2">
        <v>10.22990979614949</v>
      </c>
      <c r="D43" s="2">
        <v>20.649497092928261</v>
      </c>
      <c r="E43" s="2">
        <v>11.9743050340136</v>
      </c>
      <c r="F43" s="1">
        <v>0</v>
      </c>
      <c r="G43" s="1">
        <v>0</v>
      </c>
      <c r="H43">
        <v>0</v>
      </c>
    </row>
    <row r="44" spans="1:8" x14ac:dyDescent="0.3">
      <c r="A44">
        <v>43</v>
      </c>
      <c r="B44" s="2">
        <v>186.73656594874379</v>
      </c>
      <c r="C44" s="2">
        <v>9.3808338958097384</v>
      </c>
      <c r="D44" s="2">
        <v>18.957035275003101</v>
      </c>
      <c r="E44" s="2">
        <v>12.85210269387755</v>
      </c>
      <c r="F44" s="1">
        <v>0</v>
      </c>
      <c r="G44" s="1">
        <v>0</v>
      </c>
      <c r="H44">
        <v>0</v>
      </c>
    </row>
    <row r="45" spans="1:8" x14ac:dyDescent="0.3">
      <c r="A45">
        <v>44</v>
      </c>
      <c r="B45" s="2">
        <v>160.25712010520559</v>
      </c>
      <c r="C45" s="2">
        <v>10.566718720271799</v>
      </c>
      <c r="D45" s="2">
        <v>20.772655859560039</v>
      </c>
      <c r="E45" s="2">
        <v>10.941461591836729</v>
      </c>
      <c r="F45" s="1">
        <v>0</v>
      </c>
      <c r="G45" s="1">
        <v>0</v>
      </c>
      <c r="H45">
        <v>0</v>
      </c>
    </row>
    <row r="46" spans="1:8" x14ac:dyDescent="0.3">
      <c r="A46">
        <v>45</v>
      </c>
      <c r="B46" s="2">
        <v>156.62933545063049</v>
      </c>
      <c r="C46" s="2">
        <v>11.00624554926387</v>
      </c>
      <c r="D46" s="2">
        <v>20.43601266972534</v>
      </c>
      <c r="E46" s="2">
        <v>12.03870866666667</v>
      </c>
      <c r="F46" s="1">
        <v>0</v>
      </c>
      <c r="G46" s="1">
        <v>0</v>
      </c>
      <c r="H46">
        <v>0</v>
      </c>
    </row>
    <row r="47" spans="1:8" x14ac:dyDescent="0.3">
      <c r="A47">
        <v>46</v>
      </c>
      <c r="B47" s="2">
        <v>220.6059764603234</v>
      </c>
      <c r="C47" s="2">
        <v>15.212830305775761</v>
      </c>
      <c r="D47" s="2">
        <v>30.001676401397699</v>
      </c>
      <c r="E47" s="2">
        <v>10.095468195011341</v>
      </c>
      <c r="F47" s="1">
        <v>0</v>
      </c>
      <c r="G47" s="1">
        <v>0</v>
      </c>
      <c r="H47">
        <v>0</v>
      </c>
    </row>
    <row r="48" spans="1:8" x14ac:dyDescent="0.3">
      <c r="A48">
        <v>47</v>
      </c>
      <c r="B48" s="2">
        <v>175.25065795873141</v>
      </c>
      <c r="C48" s="2">
        <v>17.032215685164221</v>
      </c>
      <c r="D48" s="2">
        <v>48.337937405306739</v>
      </c>
      <c r="E48" s="2">
        <v>11.967944181405899</v>
      </c>
      <c r="F48" s="1">
        <v>0</v>
      </c>
      <c r="G48" s="1">
        <v>0</v>
      </c>
      <c r="H48">
        <v>0</v>
      </c>
    </row>
    <row r="49" spans="1:8" x14ac:dyDescent="0.3">
      <c r="A49">
        <v>48</v>
      </c>
      <c r="B49" s="2">
        <v>149.41114763203299</v>
      </c>
      <c r="C49" s="2">
        <v>20.626901506228769</v>
      </c>
      <c r="D49" s="2">
        <v>35.532006769260377</v>
      </c>
      <c r="E49" s="2">
        <v>9.1683739274376403</v>
      </c>
      <c r="F49" s="1">
        <v>0</v>
      </c>
      <c r="G49" s="1">
        <v>0</v>
      </c>
      <c r="H49">
        <v>0</v>
      </c>
    </row>
    <row r="50" spans="1:8" x14ac:dyDescent="0.3">
      <c r="A50">
        <v>49</v>
      </c>
      <c r="B50" s="2">
        <v>169.11920347262549</v>
      </c>
      <c r="C50" s="2">
        <v>16.390338992072479</v>
      </c>
      <c r="D50" s="2">
        <v>36.472417831098568</v>
      </c>
      <c r="E50" s="2">
        <v>11.34855615873016</v>
      </c>
      <c r="F50" s="1">
        <v>0</v>
      </c>
      <c r="G50" s="1">
        <v>0</v>
      </c>
      <c r="H50">
        <v>0</v>
      </c>
    </row>
    <row r="51" spans="1:8" x14ac:dyDescent="0.3">
      <c r="A51">
        <v>50</v>
      </c>
      <c r="B51" s="2">
        <v>149.46810990335109</v>
      </c>
      <c r="C51" s="2">
        <v>12.51527296715741</v>
      </c>
      <c r="D51" s="2">
        <v>28.883325121370259</v>
      </c>
      <c r="E51" s="2">
        <v>13.355405156462581</v>
      </c>
      <c r="F51" s="1">
        <v>0</v>
      </c>
      <c r="G51" s="1">
        <v>0</v>
      </c>
      <c r="H51">
        <v>0</v>
      </c>
    </row>
    <row r="52" spans="1:8" x14ac:dyDescent="0.3">
      <c r="A52">
        <v>51</v>
      </c>
      <c r="B52" s="2">
        <v>204.1429900138871</v>
      </c>
      <c r="C52" s="2">
        <v>11.990662208380529</v>
      </c>
      <c r="D52" s="2">
        <v>46.360274204204067</v>
      </c>
      <c r="E52" s="2">
        <v>14.33497645804988</v>
      </c>
      <c r="F52" s="1">
        <v>0</v>
      </c>
      <c r="G52" s="1">
        <v>0</v>
      </c>
      <c r="H52">
        <v>0</v>
      </c>
    </row>
    <row r="53" spans="1:8" x14ac:dyDescent="0.3">
      <c r="A53">
        <v>52</v>
      </c>
      <c r="B53" s="2">
        <v>177.12596273478371</v>
      </c>
      <c r="C53" s="2">
        <v>11.244745062287659</v>
      </c>
      <c r="D53" s="2">
        <v>39.840758518676203</v>
      </c>
      <c r="E53" s="2">
        <v>16.70518916099773</v>
      </c>
      <c r="F53" s="1">
        <v>0</v>
      </c>
      <c r="G53" s="1">
        <v>0</v>
      </c>
      <c r="H53">
        <v>0</v>
      </c>
    </row>
    <row r="54" spans="1:8" x14ac:dyDescent="0.3">
      <c r="D54" s="2"/>
      <c r="E54" s="2"/>
      <c r="F54" s="1"/>
      <c r="G54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C844-DC67-4666-8DCD-62AEE8064983}">
  <dimension ref="A1:H366"/>
  <sheetViews>
    <sheetView tabSelected="1" workbookViewId="0">
      <selection activeCell="B2" sqref="B2:C24"/>
    </sheetView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s="1">
        <v>29.156520333671558</v>
      </c>
      <c r="C2" s="1">
        <v>2.1804700850915739</v>
      </c>
      <c r="D2" s="1">
        <v>4.0014396453066272</v>
      </c>
      <c r="E2" s="1">
        <v>0.57584222222222226</v>
      </c>
      <c r="F2" s="1">
        <v>0.15791755395683449</v>
      </c>
      <c r="G2" s="1">
        <v>0.2244051470588235</v>
      </c>
      <c r="H2" s="7">
        <v>0</v>
      </c>
    </row>
    <row r="3" spans="1:8" x14ac:dyDescent="0.3">
      <c r="A3">
        <v>2</v>
      </c>
      <c r="B3" s="2">
        <v>28.633082938978749</v>
      </c>
      <c r="C3" s="2">
        <v>2.1680554003420882</v>
      </c>
      <c r="D3" s="2">
        <v>3.9767394005825119</v>
      </c>
      <c r="E3" s="2">
        <v>0.57026955555555547</v>
      </c>
      <c r="F3" s="2">
        <v>5.6567482014388493E-2</v>
      </c>
      <c r="G3" s="2">
        <v>0.2244051470588235</v>
      </c>
      <c r="H3" s="7">
        <v>0</v>
      </c>
    </row>
    <row r="4" spans="1:8" x14ac:dyDescent="0.3">
      <c r="A4">
        <v>3</v>
      </c>
      <c r="B4" s="2">
        <v>28.94503047723002</v>
      </c>
      <c r="C4" s="2">
        <v>2.197399200659055</v>
      </c>
      <c r="D4" s="2">
        <v>3.9424335051323518</v>
      </c>
      <c r="E4" s="2">
        <v>0.56562566666666669</v>
      </c>
      <c r="F4" s="2">
        <v>0.11549194244604311</v>
      </c>
      <c r="G4" s="2">
        <v>0.18385000000000001</v>
      </c>
      <c r="H4" s="7">
        <v>0</v>
      </c>
    </row>
    <row r="5" spans="1:8" x14ac:dyDescent="0.3">
      <c r="A5">
        <v>4</v>
      </c>
      <c r="B5" s="2">
        <v>28.114932790696979</v>
      </c>
      <c r="C5" s="2">
        <v>2.4603647958072639</v>
      </c>
      <c r="D5" s="2">
        <v>4.3362651849001859</v>
      </c>
      <c r="E5" s="2">
        <v>0.60556311111111105</v>
      </c>
      <c r="F5" s="2">
        <v>7.1887841726618704E-2</v>
      </c>
      <c r="G5" s="2">
        <v>0.33795955882352952</v>
      </c>
      <c r="H5" s="7">
        <v>0</v>
      </c>
    </row>
    <row r="6" spans="1:8" x14ac:dyDescent="0.3">
      <c r="A6">
        <v>5</v>
      </c>
      <c r="B6" s="2">
        <v>28.615899388142871</v>
      </c>
      <c r="C6" s="2">
        <v>2.4569789726937681</v>
      </c>
      <c r="D6" s="2">
        <v>4.4927000681529146</v>
      </c>
      <c r="E6" s="2">
        <v>0.65664588888888886</v>
      </c>
      <c r="F6" s="2">
        <v>0.1025285611510791</v>
      </c>
      <c r="G6" s="2">
        <v>0.27577499999999999</v>
      </c>
      <c r="H6" s="7">
        <v>0</v>
      </c>
    </row>
    <row r="7" spans="1:8" x14ac:dyDescent="0.3">
      <c r="A7">
        <v>6</v>
      </c>
      <c r="B7" s="2">
        <v>28.225964965328789</v>
      </c>
      <c r="C7" s="2">
        <v>2.177084261978079</v>
      </c>
      <c r="D7" s="2">
        <v>4.7191189781239684</v>
      </c>
      <c r="E7" s="2">
        <v>0.67429266666666665</v>
      </c>
      <c r="F7" s="2">
        <v>0.1166704316546763</v>
      </c>
      <c r="G7" s="2">
        <v>0.38932941176470592</v>
      </c>
      <c r="H7" s="7">
        <v>0</v>
      </c>
    </row>
    <row r="8" spans="1:8" x14ac:dyDescent="0.3">
      <c r="A8">
        <v>7</v>
      </c>
      <c r="B8" s="2">
        <v>28.22332134212327</v>
      </c>
      <c r="C8" s="2">
        <v>2.127425522980134</v>
      </c>
      <c r="D8" s="2">
        <v>4.6381570648615913</v>
      </c>
      <c r="E8" s="2">
        <v>0.67150633333333321</v>
      </c>
      <c r="F8" s="2">
        <v>0.1473111510791367</v>
      </c>
      <c r="G8" s="2">
        <v>0.44069926470588239</v>
      </c>
      <c r="H8" s="7">
        <v>0</v>
      </c>
    </row>
    <row r="9" spans="1:8" x14ac:dyDescent="0.3">
      <c r="A9">
        <v>8</v>
      </c>
      <c r="B9" s="2">
        <v>28.122863660313531</v>
      </c>
      <c r="C9" s="2">
        <v>2.0337510835067381</v>
      </c>
      <c r="D9" s="2">
        <v>4.5324949068750984</v>
      </c>
      <c r="E9" s="2">
        <v>0.64735811111111108</v>
      </c>
      <c r="F9" s="2">
        <v>0.1590960431654676</v>
      </c>
      <c r="G9" s="2">
        <v>0.44069926470588239</v>
      </c>
      <c r="H9" s="7">
        <v>0</v>
      </c>
    </row>
    <row r="10" spans="1:8" x14ac:dyDescent="0.3">
      <c r="A10">
        <v>9</v>
      </c>
      <c r="B10" s="2">
        <v>27.995969746448608</v>
      </c>
      <c r="C10" s="2">
        <v>2.0292366526887431</v>
      </c>
      <c r="D10" s="2">
        <v>4.4611386443387664</v>
      </c>
      <c r="E10" s="2">
        <v>0.63528400000000007</v>
      </c>
      <c r="F10" s="2">
        <v>9.5457625899280571E-2</v>
      </c>
      <c r="G10" s="2">
        <v>0.43529191176470589</v>
      </c>
      <c r="H10" s="7">
        <v>0</v>
      </c>
    </row>
    <row r="11" spans="1:8" x14ac:dyDescent="0.3">
      <c r="A11">
        <v>10</v>
      </c>
      <c r="B11" s="2">
        <v>27.584886337990369</v>
      </c>
      <c r="C11" s="2">
        <v>2.0935672918451709</v>
      </c>
      <c r="D11" s="2">
        <v>4.4144826265265502</v>
      </c>
      <c r="E11" s="2">
        <v>0.63064011111111107</v>
      </c>
      <c r="F11" s="2">
        <v>6.0102949640287763E-2</v>
      </c>
      <c r="G11" s="2">
        <v>0.43529191176470589</v>
      </c>
      <c r="H11" s="7">
        <v>0</v>
      </c>
    </row>
    <row r="12" spans="1:8" x14ac:dyDescent="0.3">
      <c r="A12">
        <v>11</v>
      </c>
      <c r="B12" s="2">
        <v>32.220479628868347</v>
      </c>
      <c r="C12" s="2">
        <v>2.1782128696825769</v>
      </c>
      <c r="D12" s="2">
        <v>4.772636175026217</v>
      </c>
      <c r="E12" s="2">
        <v>1.413599777777778</v>
      </c>
      <c r="F12" s="2">
        <v>0.16616697841726619</v>
      </c>
      <c r="G12" s="2">
        <v>0.59751250000000011</v>
      </c>
      <c r="H12" s="7">
        <v>0</v>
      </c>
    </row>
    <row r="13" spans="1:8" x14ac:dyDescent="0.3">
      <c r="A13">
        <v>12</v>
      </c>
      <c r="B13" s="2">
        <v>31.259522593662101</v>
      </c>
      <c r="C13" s="2">
        <v>1.868974358649921</v>
      </c>
      <c r="D13" s="2">
        <v>4.6381570648615913</v>
      </c>
      <c r="E13" s="2">
        <v>1.3253658888888891</v>
      </c>
      <c r="F13" s="2">
        <v>0.21330654676258989</v>
      </c>
      <c r="G13" s="2">
        <v>0.57047573529411755</v>
      </c>
      <c r="H13" s="7">
        <v>0</v>
      </c>
    </row>
    <row r="14" spans="1:8" x14ac:dyDescent="0.3">
      <c r="A14">
        <v>13</v>
      </c>
      <c r="B14" s="2">
        <v>31.087687085303351</v>
      </c>
      <c r="C14" s="2">
        <v>3.500941099355106</v>
      </c>
      <c r="D14" s="2">
        <v>6.2107393122969112</v>
      </c>
      <c r="E14" s="2">
        <v>0.68172288888888888</v>
      </c>
      <c r="F14" s="2">
        <v>0.23334086330935261</v>
      </c>
      <c r="G14" s="2">
        <v>0.91384264705882357</v>
      </c>
      <c r="H14" s="7">
        <v>0</v>
      </c>
    </row>
    <row r="15" spans="1:8" x14ac:dyDescent="0.3">
      <c r="A15">
        <v>14</v>
      </c>
      <c r="B15" s="2">
        <v>28.192919675259791</v>
      </c>
      <c r="C15" s="2">
        <v>3.0043537093756578</v>
      </c>
      <c r="D15" s="2">
        <v>7.3099002025200281</v>
      </c>
      <c r="E15" s="2">
        <v>0.8526180000000001</v>
      </c>
      <c r="F15" s="2">
        <v>0.17323791366906471</v>
      </c>
      <c r="G15" s="2">
        <v>0.96521250000000003</v>
      </c>
      <c r="H15" s="7">
        <v>0</v>
      </c>
    </row>
    <row r="16" spans="1:8" x14ac:dyDescent="0.3">
      <c r="A16">
        <v>15</v>
      </c>
      <c r="B16" s="2">
        <v>27.599426265620728</v>
      </c>
      <c r="C16" s="2">
        <v>2.9874245938081772</v>
      </c>
      <c r="D16" s="2">
        <v>6.3122847628293837</v>
      </c>
      <c r="E16" s="2">
        <v>0.83775755555555553</v>
      </c>
      <c r="F16" s="2">
        <v>0.15673906474820151</v>
      </c>
      <c r="G16" s="2">
        <v>0.85976911764705888</v>
      </c>
      <c r="H16" s="7">
        <v>0</v>
      </c>
    </row>
    <row r="17" spans="1:8" x14ac:dyDescent="0.3">
      <c r="A17">
        <v>16</v>
      </c>
      <c r="B17" s="2">
        <v>28.54980880800489</v>
      </c>
      <c r="C17" s="2">
        <v>3.055141056078102</v>
      </c>
      <c r="D17" s="2">
        <v>5.6618449850943566</v>
      </c>
      <c r="E17" s="2">
        <v>0.7402358888888888</v>
      </c>
      <c r="F17" s="2">
        <v>0.13670474820143891</v>
      </c>
      <c r="G17" s="2">
        <v>0.69214117647058826</v>
      </c>
      <c r="H17" s="7">
        <v>0</v>
      </c>
    </row>
    <row r="18" spans="1:8" x14ac:dyDescent="0.3">
      <c r="A18">
        <v>17</v>
      </c>
      <c r="B18" s="2">
        <v>30.820681141545911</v>
      </c>
      <c r="C18" s="2">
        <v>2.7865324224074</v>
      </c>
      <c r="D18" s="2">
        <v>5.6083277881921072</v>
      </c>
      <c r="E18" s="2">
        <v>0.77181433333333327</v>
      </c>
      <c r="F18" s="2">
        <v>0.13316928057553951</v>
      </c>
      <c r="G18" s="2">
        <v>0.90573161764705901</v>
      </c>
      <c r="H18" s="7">
        <v>0</v>
      </c>
    </row>
    <row r="19" spans="1:8" x14ac:dyDescent="0.3">
      <c r="A19">
        <v>18</v>
      </c>
      <c r="B19" s="2">
        <v>31.93232469946674</v>
      </c>
      <c r="C19" s="2">
        <v>2.5698397431436422</v>
      </c>
      <c r="D19" s="2">
        <v>5.9376643845136394</v>
      </c>
      <c r="E19" s="2">
        <v>0.80989422222222207</v>
      </c>
      <c r="F19" s="2">
        <v>0.13906172661870511</v>
      </c>
      <c r="G19" s="2">
        <v>0.78676985294117641</v>
      </c>
      <c r="H19" s="7">
        <v>0</v>
      </c>
    </row>
    <row r="20" spans="1:8" x14ac:dyDescent="0.3">
      <c r="A20">
        <v>19</v>
      </c>
      <c r="B20" s="2">
        <v>32.54300165994168</v>
      </c>
      <c r="C20" s="2">
        <v>2.7459025450454448</v>
      </c>
      <c r="D20" s="2">
        <v>6.1819223601187767</v>
      </c>
      <c r="E20" s="2">
        <v>0.8619057777777781</v>
      </c>
      <c r="F20" s="2">
        <v>0.13434776978417259</v>
      </c>
      <c r="G20" s="2">
        <v>0.78947352941176463</v>
      </c>
      <c r="H20" s="7">
        <v>0</v>
      </c>
    </row>
    <row r="21" spans="1:8" x14ac:dyDescent="0.3">
      <c r="A21">
        <v>20</v>
      </c>
      <c r="B21" s="2">
        <v>31.85301600330116</v>
      </c>
      <c r="C21" s="2">
        <v>2.653356713276549</v>
      </c>
      <c r="D21" s="2">
        <v>6.1242884557625086</v>
      </c>
      <c r="E21" s="2">
        <v>0.85354677777777777</v>
      </c>
      <c r="F21" s="2">
        <v>9.0743669064748206E-2</v>
      </c>
      <c r="G21" s="2">
        <v>0.77325147058823529</v>
      </c>
      <c r="H21" s="7">
        <v>0</v>
      </c>
    </row>
    <row r="22" spans="1:8" x14ac:dyDescent="0.3">
      <c r="A22">
        <v>21</v>
      </c>
      <c r="B22" s="2">
        <v>29.033591854614919</v>
      </c>
      <c r="C22" s="2">
        <v>2.345246809948391</v>
      </c>
      <c r="D22" s="2">
        <v>6.0446987783181383</v>
      </c>
      <c r="E22" s="2">
        <v>1.0235131111111111</v>
      </c>
      <c r="F22" s="2">
        <v>0.1037070503597122</v>
      </c>
      <c r="G22" s="2">
        <v>1.016582352941177</v>
      </c>
      <c r="H22" s="7">
        <v>0</v>
      </c>
    </row>
    <row r="23" spans="1:8" x14ac:dyDescent="0.3">
      <c r="A23">
        <v>22</v>
      </c>
      <c r="B23" s="2">
        <v>28.27619380623366</v>
      </c>
      <c r="C23" s="2">
        <v>2.3520184561753839</v>
      </c>
      <c r="D23" s="2">
        <v>6.1489887004866226</v>
      </c>
      <c r="E23" s="2">
        <v>1.3996681111111109</v>
      </c>
      <c r="F23" s="2">
        <v>0.1319907913669065</v>
      </c>
      <c r="G23" s="2">
        <v>1.1003963235294121</v>
      </c>
      <c r="H23" s="7">
        <v>0</v>
      </c>
    </row>
    <row r="24" spans="1:8" x14ac:dyDescent="0.3">
      <c r="A24">
        <v>23</v>
      </c>
      <c r="B24" s="2">
        <v>31.666640567312069</v>
      </c>
      <c r="C24" s="2">
        <v>3.138658026211008</v>
      </c>
      <c r="D24" s="2">
        <v>7.3894898799643993</v>
      </c>
      <c r="E24" s="2">
        <v>1.5064775555555561</v>
      </c>
      <c r="F24" s="2">
        <v>0.16381000000000001</v>
      </c>
      <c r="G24" s="2">
        <v>1.2139507352941179</v>
      </c>
      <c r="H24" s="7">
        <v>0</v>
      </c>
    </row>
    <row r="25" spans="1:8" x14ac:dyDescent="0.3">
      <c r="A25">
        <v>24</v>
      </c>
      <c r="B25" s="2">
        <v>33.747172030055687</v>
      </c>
      <c r="C25" s="2">
        <v>3.6589461779849302</v>
      </c>
      <c r="D25" s="2">
        <v>9.1445794911945679</v>
      </c>
      <c r="E25" s="2">
        <v>3.0696105555555548</v>
      </c>
      <c r="F25" s="2">
        <v>0.17205942446043171</v>
      </c>
      <c r="G25" s="2">
        <v>1.295061029411765</v>
      </c>
      <c r="H25" s="7">
        <v>0</v>
      </c>
    </row>
    <row r="26" spans="1:8" x14ac:dyDescent="0.3">
      <c r="A26">
        <v>25</v>
      </c>
      <c r="B26" s="2">
        <v>34.482099281190031</v>
      </c>
      <c r="C26" s="2">
        <v>3.7210196017323609</v>
      </c>
      <c r="D26" s="2">
        <v>8.9263939961315515</v>
      </c>
      <c r="E26" s="2">
        <v>2.845775111111112</v>
      </c>
      <c r="F26" s="2">
        <v>0.16734546762589919</v>
      </c>
      <c r="G26" s="2">
        <v>1.251802205882353</v>
      </c>
      <c r="H26" s="7">
        <v>0</v>
      </c>
    </row>
    <row r="27" spans="1:8" x14ac:dyDescent="0.3">
      <c r="A27">
        <v>26</v>
      </c>
      <c r="B27" s="2">
        <v>33.81590623339919</v>
      </c>
      <c r="C27" s="2">
        <v>3.573171992443025</v>
      </c>
      <c r="D27" s="2">
        <v>8.3829886122010233</v>
      </c>
      <c r="E27" s="2">
        <v>2.4157510000000002</v>
      </c>
      <c r="F27" s="2">
        <v>0.16145302158273381</v>
      </c>
      <c r="G27" s="2">
        <v>1.130136764705882</v>
      </c>
      <c r="H27" s="7">
        <v>0</v>
      </c>
    </row>
    <row r="28" spans="1:8" x14ac:dyDescent="0.3">
      <c r="A28">
        <v>27</v>
      </c>
      <c r="B28" s="2">
        <v>30.303852804866889</v>
      </c>
      <c r="C28" s="2">
        <v>3.2436185427293922</v>
      </c>
      <c r="D28" s="2">
        <v>7.5870918377573187</v>
      </c>
      <c r="E28" s="2">
        <v>2.1111118888888889</v>
      </c>
      <c r="F28" s="2">
        <v>0.15084661870503599</v>
      </c>
      <c r="G28" s="2">
        <v>1.0436191176470591</v>
      </c>
      <c r="H28" s="7">
        <v>0</v>
      </c>
    </row>
    <row r="29" spans="1:8" x14ac:dyDescent="0.3">
      <c r="A29">
        <v>28</v>
      </c>
      <c r="B29" s="2">
        <v>26.519506186166119</v>
      </c>
      <c r="C29" s="2">
        <v>2.8519916692683269</v>
      </c>
      <c r="D29" s="2">
        <v>6.8680402691219724</v>
      </c>
      <c r="E29" s="2">
        <v>1.912353444444445</v>
      </c>
      <c r="F29" s="2">
        <v>0.15438208633093531</v>
      </c>
      <c r="G29" s="2">
        <v>0.98143455882352948</v>
      </c>
      <c r="H29" s="7">
        <v>0</v>
      </c>
    </row>
    <row r="30" spans="1:8" x14ac:dyDescent="0.3">
      <c r="A30">
        <v>29</v>
      </c>
      <c r="B30" s="2">
        <v>24.966377552923579</v>
      </c>
      <c r="C30" s="2">
        <v>2.645456459345056</v>
      </c>
      <c r="D30" s="2">
        <v>6.3754076104576782</v>
      </c>
      <c r="E30" s="2">
        <v>1.745173444444444</v>
      </c>
      <c r="F30" s="2">
        <v>0.15438208633093531</v>
      </c>
      <c r="G30" s="2">
        <v>0.87869485294117655</v>
      </c>
      <c r="H30" s="7">
        <v>0</v>
      </c>
    </row>
    <row r="31" spans="1:8" x14ac:dyDescent="0.3">
      <c r="A31">
        <v>30</v>
      </c>
      <c r="B31" s="2">
        <v>24.169325156459539</v>
      </c>
      <c r="C31" s="2">
        <v>2.762831660612926</v>
      </c>
      <c r="D31" s="2">
        <v>6.1448719930326048</v>
      </c>
      <c r="E31" s="2">
        <v>1.6383639999999999</v>
      </c>
      <c r="F31" s="2">
        <v>0.15438208633093531</v>
      </c>
      <c r="G31" s="2">
        <v>0.77325147058823529</v>
      </c>
      <c r="H31" s="7">
        <v>0</v>
      </c>
    </row>
    <row r="32" spans="1:8" x14ac:dyDescent="0.3">
      <c r="A32">
        <v>31</v>
      </c>
      <c r="B32" s="2">
        <v>24.144210736007089</v>
      </c>
      <c r="C32" s="2">
        <v>3.3327785513847918</v>
      </c>
      <c r="D32" s="2">
        <v>6.0268597126840557</v>
      </c>
      <c r="E32" s="2">
        <v>1.4804717777777781</v>
      </c>
      <c r="F32" s="2">
        <v>0.16381000000000001</v>
      </c>
      <c r="G32" s="2">
        <v>0.65428970588235291</v>
      </c>
      <c r="H32" s="7">
        <v>0</v>
      </c>
    </row>
    <row r="33" spans="1:8" x14ac:dyDescent="0.3">
      <c r="A33">
        <v>32</v>
      </c>
      <c r="B33" s="2">
        <v>24.218232185761639</v>
      </c>
      <c r="C33" s="2">
        <v>4.6239057653313562</v>
      </c>
      <c r="D33" s="2">
        <v>6.3095402911933718</v>
      </c>
      <c r="E33" s="2">
        <v>1.3736623333333331</v>
      </c>
      <c r="F33" s="2">
        <v>0.176773381294964</v>
      </c>
      <c r="G33" s="2">
        <v>0.6732154411764707</v>
      </c>
      <c r="H33" s="7">
        <v>0</v>
      </c>
    </row>
    <row r="34" spans="1:8" x14ac:dyDescent="0.3">
      <c r="A34">
        <v>33</v>
      </c>
      <c r="B34" s="2">
        <v>23.418536166092071</v>
      </c>
      <c r="C34" s="2">
        <v>5.3936162197995001</v>
      </c>
      <c r="D34" s="2">
        <v>7.0285918598287189</v>
      </c>
      <c r="E34" s="2">
        <v>1.3160781111111111</v>
      </c>
      <c r="F34" s="2">
        <v>0.17913035971223021</v>
      </c>
      <c r="G34" s="2">
        <v>0.69484485294117648</v>
      </c>
      <c r="H34" s="7">
        <v>0</v>
      </c>
    </row>
    <row r="35" spans="1:8" x14ac:dyDescent="0.3">
      <c r="A35">
        <v>34</v>
      </c>
      <c r="B35" s="2">
        <v>24.13892348959606</v>
      </c>
      <c r="C35" s="2">
        <v>6.3134314989659783</v>
      </c>
      <c r="D35" s="2">
        <v>7.8587945297225827</v>
      </c>
      <c r="E35" s="2">
        <v>1.182334111111111</v>
      </c>
      <c r="F35" s="2">
        <v>0.16263151079136701</v>
      </c>
      <c r="G35" s="2">
        <v>0.6407713235294118</v>
      </c>
      <c r="H35" s="7">
        <v>0</v>
      </c>
    </row>
    <row r="36" spans="1:8" x14ac:dyDescent="0.3">
      <c r="A36">
        <v>35</v>
      </c>
      <c r="B36" s="2">
        <v>26.732317854210422</v>
      </c>
      <c r="C36" s="2">
        <v>6.9104649746458131</v>
      </c>
      <c r="D36" s="2">
        <v>8.4749284120074506</v>
      </c>
      <c r="E36" s="2">
        <v>1.1674736666666661</v>
      </c>
      <c r="F36" s="2">
        <v>0.18620129496402879</v>
      </c>
      <c r="G36" s="2">
        <v>0.72188161764705894</v>
      </c>
      <c r="H36" s="7">
        <v>0</v>
      </c>
    </row>
    <row r="37" spans="1:8" x14ac:dyDescent="0.3">
      <c r="A37">
        <v>36</v>
      </c>
      <c r="B37" s="2">
        <v>25.689408499633089</v>
      </c>
      <c r="C37" s="2">
        <v>7.6440599825699964</v>
      </c>
      <c r="D37" s="2">
        <v>8.6999750861604976</v>
      </c>
      <c r="E37" s="2">
        <v>1.164687333333333</v>
      </c>
      <c r="F37" s="2">
        <v>0.22037748201438839</v>
      </c>
      <c r="G37" s="2">
        <v>0.69754852941176471</v>
      </c>
      <c r="H37" s="7">
        <v>0</v>
      </c>
    </row>
    <row r="38" spans="1:8" x14ac:dyDescent="0.3">
      <c r="A38">
        <v>37</v>
      </c>
      <c r="B38" s="2">
        <v>28.65158830141738</v>
      </c>
      <c r="C38" s="2">
        <v>8.3471825824727155</v>
      </c>
      <c r="D38" s="2">
        <v>9.8265806927437431</v>
      </c>
      <c r="E38" s="2">
        <v>1.2417758888888879</v>
      </c>
      <c r="F38" s="2">
        <v>0.22037748201438839</v>
      </c>
      <c r="G38" s="2">
        <v>0.72188161764705894</v>
      </c>
      <c r="H38" s="7">
        <v>0</v>
      </c>
    </row>
    <row r="39" spans="1:8" x14ac:dyDescent="0.3">
      <c r="A39">
        <v>38</v>
      </c>
      <c r="B39" s="2">
        <v>29.198818304959861</v>
      </c>
      <c r="C39" s="2">
        <v>8.6282059008929011</v>
      </c>
      <c r="D39" s="2">
        <v>10.957303006781011</v>
      </c>
      <c r="E39" s="2">
        <v>1.534340888888889</v>
      </c>
      <c r="F39" s="2">
        <v>0.1225628776978417</v>
      </c>
      <c r="G39" s="2">
        <v>0.72188161764705894</v>
      </c>
      <c r="H39" s="7">
        <v>0</v>
      </c>
    </row>
    <row r="40" spans="1:8" x14ac:dyDescent="0.3">
      <c r="A40">
        <v>39</v>
      </c>
      <c r="B40" s="2">
        <v>28.89215801311963</v>
      </c>
      <c r="C40" s="2">
        <v>7.5966584589810484</v>
      </c>
      <c r="D40" s="2">
        <v>10.227273551601609</v>
      </c>
      <c r="E40" s="2">
        <v>1.5631330000000001</v>
      </c>
      <c r="F40" s="2">
        <v>5.0675035971223019E-2</v>
      </c>
      <c r="G40" s="2">
        <v>0.62725294117647068</v>
      </c>
      <c r="H40" s="7">
        <v>0</v>
      </c>
    </row>
    <row r="41" spans="1:8" x14ac:dyDescent="0.3">
      <c r="A41">
        <v>40</v>
      </c>
      <c r="B41" s="2">
        <v>29.27151794311164</v>
      </c>
      <c r="C41" s="2">
        <v>7.3246640021968519</v>
      </c>
      <c r="D41" s="2">
        <v>9.6358399140408562</v>
      </c>
      <c r="E41" s="2">
        <v>1.633720111111111</v>
      </c>
      <c r="F41" s="2">
        <v>5.7745971223021567E-2</v>
      </c>
      <c r="G41" s="2">
        <v>1.081470588235294</v>
      </c>
      <c r="H41" s="7">
        <v>0</v>
      </c>
    </row>
    <row r="42" spans="1:8" x14ac:dyDescent="0.3">
      <c r="A42">
        <v>41</v>
      </c>
      <c r="B42" s="2">
        <v>23.815079646919958</v>
      </c>
      <c r="C42" s="2">
        <v>7.3562650179228166</v>
      </c>
      <c r="D42" s="2">
        <v>9.5686003589585429</v>
      </c>
      <c r="E42" s="2">
        <v>1.9058520000000001</v>
      </c>
      <c r="F42" s="2">
        <v>6.0102949640287763E-2</v>
      </c>
      <c r="G42" s="2">
        <v>1.1706919117647061</v>
      </c>
      <c r="H42" s="7">
        <v>0</v>
      </c>
    </row>
    <row r="43" spans="1:8" x14ac:dyDescent="0.3">
      <c r="A43">
        <v>42</v>
      </c>
      <c r="B43" s="2">
        <v>22.74705587189019</v>
      </c>
      <c r="C43" s="2">
        <v>6.4353211310518406</v>
      </c>
      <c r="D43" s="2">
        <v>8.8303374888711055</v>
      </c>
      <c r="E43" s="2">
        <v>1.7015208888888891</v>
      </c>
      <c r="F43" s="2">
        <v>8.6029712230215813E-2</v>
      </c>
      <c r="G43" s="2">
        <v>1.173395588235294</v>
      </c>
      <c r="H43" s="7">
        <v>0</v>
      </c>
    </row>
    <row r="44" spans="1:8" x14ac:dyDescent="0.3">
      <c r="A44">
        <v>43</v>
      </c>
      <c r="B44" s="2">
        <v>22.71136695861567</v>
      </c>
      <c r="C44" s="2">
        <v>6.0324081805457892</v>
      </c>
      <c r="D44" s="2">
        <v>8.6162687012621095</v>
      </c>
      <c r="E44" s="2">
        <v>1.532483333333333</v>
      </c>
      <c r="F44" s="2">
        <v>9.0743669064748206E-2</v>
      </c>
      <c r="G44" s="2">
        <v>1.062544852941177</v>
      </c>
      <c r="H44" s="7">
        <v>0</v>
      </c>
    </row>
    <row r="45" spans="1:8" x14ac:dyDescent="0.3">
      <c r="A45">
        <v>44</v>
      </c>
      <c r="B45" s="2">
        <v>22.78010116195918</v>
      </c>
      <c r="C45" s="2">
        <v>5.7581565083525952</v>
      </c>
      <c r="D45" s="2">
        <v>8.4090610927431442</v>
      </c>
      <c r="E45" s="2">
        <v>1.3987393333333329</v>
      </c>
      <c r="F45" s="2">
        <v>0.1060640287769784</v>
      </c>
      <c r="G45" s="2">
        <v>0.91925000000000012</v>
      </c>
      <c r="H45" s="7">
        <v>0</v>
      </c>
    </row>
    <row r="46" spans="1:8" x14ac:dyDescent="0.3">
      <c r="A46">
        <v>45</v>
      </c>
      <c r="B46" s="2">
        <v>23.010096380839361</v>
      </c>
      <c r="C46" s="2">
        <v>5.45568964354693</v>
      </c>
      <c r="D46" s="2">
        <v>8.0879579113296511</v>
      </c>
      <c r="E46" s="2">
        <v>1.274283111111111</v>
      </c>
      <c r="F46" s="2">
        <v>0.11902741007194249</v>
      </c>
      <c r="G46" s="2">
        <v>0.80299191176470586</v>
      </c>
      <c r="H46" s="7">
        <v>0</v>
      </c>
    </row>
    <row r="47" spans="1:8" x14ac:dyDescent="0.3">
      <c r="A47">
        <v>46</v>
      </c>
      <c r="B47" s="2">
        <v>23.530890152326641</v>
      </c>
      <c r="C47" s="2">
        <v>5.2028815177392129</v>
      </c>
      <c r="D47" s="2">
        <v>7.7970439179122959</v>
      </c>
      <c r="E47" s="2">
        <v>1.2046247777777781</v>
      </c>
      <c r="F47" s="2">
        <v>0.1590960431654676</v>
      </c>
      <c r="G47" s="2">
        <v>0.71647426470588249</v>
      </c>
      <c r="H47" s="7">
        <v>0</v>
      </c>
    </row>
    <row r="48" spans="1:8" x14ac:dyDescent="0.3">
      <c r="A48">
        <v>47</v>
      </c>
      <c r="B48" s="2">
        <v>23.73841457395989</v>
      </c>
      <c r="C48" s="2">
        <v>5.1058212551523203</v>
      </c>
      <c r="D48" s="2">
        <v>7.6406090346595672</v>
      </c>
      <c r="E48" s="2">
        <v>1.1340376666666669</v>
      </c>
      <c r="F48" s="2">
        <v>0.27930194244604312</v>
      </c>
      <c r="G48" s="2">
        <v>0.64888235294117647</v>
      </c>
      <c r="H48" s="7">
        <v>0</v>
      </c>
    </row>
    <row r="49" spans="1:8" x14ac:dyDescent="0.3">
      <c r="A49">
        <v>48</v>
      </c>
      <c r="B49" s="2">
        <v>23.269171454980231</v>
      </c>
      <c r="C49" s="2">
        <v>4.933144276364013</v>
      </c>
      <c r="D49" s="2">
        <v>7.452612727592693</v>
      </c>
      <c r="E49" s="2">
        <v>1.068094444444444</v>
      </c>
      <c r="F49" s="2">
        <v>0.27812345323741011</v>
      </c>
      <c r="G49" s="2">
        <v>0.586697794117647</v>
      </c>
      <c r="H49" s="7">
        <v>0</v>
      </c>
    </row>
    <row r="50" spans="1:8" x14ac:dyDescent="0.3">
      <c r="A50">
        <v>49</v>
      </c>
      <c r="B50" s="2">
        <v>23.579797181628749</v>
      </c>
      <c r="C50" s="2">
        <v>4.794325528710667</v>
      </c>
      <c r="D50" s="2">
        <v>7.4334014261406027</v>
      </c>
      <c r="E50" s="2">
        <v>1.0067951111111111</v>
      </c>
      <c r="F50" s="2">
        <v>0.26633856115107912</v>
      </c>
      <c r="G50" s="2">
        <v>0.52180955882352942</v>
      </c>
      <c r="H50" s="7">
        <v>0</v>
      </c>
    </row>
    <row r="51" spans="1:8" x14ac:dyDescent="0.3">
      <c r="A51">
        <v>50</v>
      </c>
      <c r="B51" s="2">
        <v>22.723263263040511</v>
      </c>
      <c r="C51" s="2">
        <v>4.6724358966248021</v>
      </c>
      <c r="D51" s="2">
        <v>7.4937798021328836</v>
      </c>
      <c r="E51" s="2">
        <v>0.98450444444444474</v>
      </c>
      <c r="F51" s="2">
        <v>0.25573215827338142</v>
      </c>
      <c r="G51" s="2">
        <v>0.5407352941176472</v>
      </c>
      <c r="H51" s="7">
        <v>0</v>
      </c>
    </row>
    <row r="52" spans="1:8" x14ac:dyDescent="0.3">
      <c r="A52">
        <v>51</v>
      </c>
      <c r="B52" s="2">
        <v>22.819755510041968</v>
      </c>
      <c r="C52" s="2">
        <v>4.6408348808988373</v>
      </c>
      <c r="D52" s="2">
        <v>7.3346004472441422</v>
      </c>
      <c r="E52" s="2">
        <v>0.9705727777777774</v>
      </c>
      <c r="F52" s="2">
        <v>0.22980539568345329</v>
      </c>
      <c r="G52" s="2">
        <v>0.51099485294117664</v>
      </c>
      <c r="H52" s="7">
        <v>0</v>
      </c>
    </row>
    <row r="53" spans="1:8" x14ac:dyDescent="0.3">
      <c r="A53">
        <v>52</v>
      </c>
      <c r="B53" s="2">
        <v>23.024636308469699</v>
      </c>
      <c r="C53" s="2">
        <v>4.4546146096565451</v>
      </c>
      <c r="D53" s="2">
        <v>7.0656422269148909</v>
      </c>
      <c r="E53" s="2">
        <v>0.93620799999999949</v>
      </c>
      <c r="F53" s="2">
        <v>0.2239129496402878</v>
      </c>
      <c r="G53" s="2">
        <v>0.48666176470588229</v>
      </c>
      <c r="H53" s="7">
        <v>0</v>
      </c>
    </row>
    <row r="54" spans="1:8" x14ac:dyDescent="0.3">
      <c r="A54">
        <v>53</v>
      </c>
      <c r="B54" s="2">
        <v>22.877915220563391</v>
      </c>
      <c r="C54" s="2">
        <v>4.2796804154592394</v>
      </c>
      <c r="D54" s="2">
        <v>6.8104063647657016</v>
      </c>
      <c r="E54" s="2">
        <v>0.90927344444444469</v>
      </c>
      <c r="F54" s="2">
        <v>0.21094956834532369</v>
      </c>
      <c r="G54" s="2">
        <v>0.4704397058823529</v>
      </c>
      <c r="H54" s="7">
        <v>0</v>
      </c>
    </row>
    <row r="55" spans="1:8" x14ac:dyDescent="0.3">
      <c r="A55">
        <v>54</v>
      </c>
      <c r="B55" s="2">
        <v>22.392810362350609</v>
      </c>
      <c r="C55" s="2">
        <v>4.1397330601013964</v>
      </c>
      <c r="D55" s="2">
        <v>6.5140034280763226</v>
      </c>
      <c r="E55" s="2">
        <v>0.8888403333333329</v>
      </c>
      <c r="F55" s="2">
        <v>0.18384431654676259</v>
      </c>
      <c r="G55" s="2">
        <v>0.46232867647058828</v>
      </c>
      <c r="H55" s="7">
        <v>0</v>
      </c>
    </row>
    <row r="56" spans="1:8" x14ac:dyDescent="0.3">
      <c r="A56">
        <v>55</v>
      </c>
      <c r="B56" s="2">
        <v>22.470797246913421</v>
      </c>
      <c r="C56" s="2">
        <v>4.6126196882863679</v>
      </c>
      <c r="D56" s="2">
        <v>6.9544911256563724</v>
      </c>
      <c r="E56" s="2">
        <v>0.85819066666666677</v>
      </c>
      <c r="F56" s="2">
        <v>0.19916467625899281</v>
      </c>
      <c r="G56" s="2">
        <v>0.44610661764705889</v>
      </c>
      <c r="H56" s="7">
        <v>0</v>
      </c>
    </row>
    <row r="57" spans="1:8" x14ac:dyDescent="0.3">
      <c r="A57">
        <v>56</v>
      </c>
      <c r="B57" s="2">
        <v>21.86408572124677</v>
      </c>
      <c r="C57" s="2">
        <v>4.9986035232249391</v>
      </c>
      <c r="D57" s="2">
        <v>7.9178006698968577</v>
      </c>
      <c r="E57" s="2">
        <v>0.88698277777777801</v>
      </c>
      <c r="F57" s="2">
        <v>0.18384431654676259</v>
      </c>
      <c r="G57" s="2">
        <v>0.37310735294117658</v>
      </c>
      <c r="H57" s="7">
        <v>0</v>
      </c>
    </row>
    <row r="58" spans="1:8" x14ac:dyDescent="0.3">
      <c r="A58">
        <v>57</v>
      </c>
      <c r="B58" s="2">
        <v>21.630125067558311</v>
      </c>
      <c r="C58" s="2">
        <v>4.946687568817997</v>
      </c>
      <c r="D58" s="2">
        <v>8.1812699469540835</v>
      </c>
      <c r="E58" s="2">
        <v>1.001222444444444</v>
      </c>
      <c r="F58" s="2">
        <v>0.17795187050359709</v>
      </c>
      <c r="G58" s="2">
        <v>0.46773602941176479</v>
      </c>
      <c r="H58" s="7">
        <v>0</v>
      </c>
    </row>
    <row r="59" spans="1:8" x14ac:dyDescent="0.3">
      <c r="A59">
        <v>58</v>
      </c>
      <c r="B59" s="2">
        <v>22.054426592044148</v>
      </c>
      <c r="C59" s="2">
        <v>4.8665564217985864</v>
      </c>
      <c r="D59" s="2">
        <v>7.8093940402743529</v>
      </c>
      <c r="E59" s="2">
        <v>0.97986055555555562</v>
      </c>
      <c r="F59" s="2">
        <v>9.7814604316546774E-2</v>
      </c>
      <c r="G59" s="2">
        <v>0.4758470588235294</v>
      </c>
      <c r="H59" s="7">
        <v>0</v>
      </c>
    </row>
    <row r="60" spans="1:8" x14ac:dyDescent="0.3">
      <c r="A60">
        <v>59</v>
      </c>
      <c r="B60" s="2">
        <v>22.166780578278711</v>
      </c>
      <c r="C60" s="2">
        <v>5.3970020429129972</v>
      </c>
      <c r="D60" s="2">
        <v>7.4210513037785457</v>
      </c>
      <c r="E60" s="2">
        <v>0.90462955555555569</v>
      </c>
      <c r="F60" s="2">
        <v>0.44429043165467619</v>
      </c>
      <c r="G60" s="2">
        <v>0.39473676470588243</v>
      </c>
      <c r="H60" s="7">
        <v>0</v>
      </c>
    </row>
    <row r="61" spans="1:8" x14ac:dyDescent="0.3">
      <c r="A61">
        <v>60</v>
      </c>
      <c r="B61" s="2">
        <v>25.324588497271439</v>
      </c>
      <c r="C61" s="2">
        <v>5.8777889250294626</v>
      </c>
      <c r="D61" s="2">
        <v>7.7298043628299826</v>
      </c>
      <c r="E61" s="2">
        <v>0.91763244444444414</v>
      </c>
      <c r="F61" s="2">
        <v>0.22862690647482009</v>
      </c>
      <c r="G61" s="2">
        <v>0.36229264705882352</v>
      </c>
      <c r="H61" s="7">
        <v>0</v>
      </c>
    </row>
    <row r="62" spans="1:8" x14ac:dyDescent="0.3">
      <c r="A62">
        <v>61</v>
      </c>
      <c r="B62" s="2">
        <v>26.21020227112038</v>
      </c>
      <c r="C62" s="2">
        <v>5.785243093260565</v>
      </c>
      <c r="D62" s="2">
        <v>7.7558768433721053</v>
      </c>
      <c r="E62" s="2">
        <v>0.91856122222222181</v>
      </c>
      <c r="F62" s="2">
        <v>0.19209374100719431</v>
      </c>
      <c r="G62" s="2">
        <v>0.34877426470588241</v>
      </c>
      <c r="H62" s="7">
        <v>0</v>
      </c>
    </row>
    <row r="63" spans="1:8" x14ac:dyDescent="0.3">
      <c r="A63">
        <v>62</v>
      </c>
      <c r="B63" s="2">
        <v>26.056872125200261</v>
      </c>
      <c r="C63" s="2">
        <v>5.4003878660264926</v>
      </c>
      <c r="D63" s="2">
        <v>7.6968707031978294</v>
      </c>
      <c r="E63" s="2">
        <v>0.88233888888888901</v>
      </c>
      <c r="F63" s="2">
        <v>0.20741410071942451</v>
      </c>
      <c r="G63" s="2">
        <v>0.37581102941176481</v>
      </c>
      <c r="H63" s="7">
        <v>0</v>
      </c>
    </row>
    <row r="64" spans="1:8" x14ac:dyDescent="0.3">
      <c r="A64">
        <v>63</v>
      </c>
      <c r="B64" s="2">
        <v>28.162518008396329</v>
      </c>
      <c r="C64" s="2">
        <v>5.3484719116195496</v>
      </c>
      <c r="D64" s="2">
        <v>7.6104198466634267</v>
      </c>
      <c r="E64" s="2">
        <v>0.82568344444444453</v>
      </c>
      <c r="F64" s="2">
        <v>0.23334086330935261</v>
      </c>
      <c r="G64" s="2">
        <v>0.26225661764705888</v>
      </c>
      <c r="H64" s="7">
        <v>0</v>
      </c>
    </row>
    <row r="65" spans="1:8" x14ac:dyDescent="0.3">
      <c r="A65">
        <v>64</v>
      </c>
      <c r="B65" s="2">
        <v>32.802076734082569</v>
      </c>
      <c r="C65" s="2">
        <v>5.8450593015989982</v>
      </c>
      <c r="D65" s="2">
        <v>8.2594873885804496</v>
      </c>
      <c r="E65" s="2">
        <v>0.8349712222222222</v>
      </c>
      <c r="F65" s="2">
        <v>0.23098388489208629</v>
      </c>
      <c r="G65" s="2">
        <v>0.21088676470588241</v>
      </c>
      <c r="H65" s="7">
        <v>0</v>
      </c>
    </row>
    <row r="66" spans="1:8" x14ac:dyDescent="0.3">
      <c r="A66">
        <v>65</v>
      </c>
      <c r="B66" s="2">
        <v>30.108224687658481</v>
      </c>
      <c r="C66" s="2">
        <v>6.4432213849833326</v>
      </c>
      <c r="D66" s="2">
        <v>9.2090745746408693</v>
      </c>
      <c r="E66" s="2">
        <v>0.94363822222222193</v>
      </c>
      <c r="F66" s="2">
        <v>0.18148733812949641</v>
      </c>
      <c r="G66" s="2">
        <v>0.37581102941176481</v>
      </c>
      <c r="H66" s="7">
        <v>0</v>
      </c>
    </row>
    <row r="67" spans="1:8" x14ac:dyDescent="0.3">
      <c r="A67">
        <v>66</v>
      </c>
      <c r="B67" s="2">
        <v>30.302530993264138</v>
      </c>
      <c r="C67" s="2">
        <v>6.9860816908472296</v>
      </c>
      <c r="D67" s="2">
        <v>10.42350327357652</v>
      </c>
      <c r="E67" s="2">
        <v>1.1433254444444441</v>
      </c>
      <c r="F67" s="2">
        <v>0.19916467625899281</v>
      </c>
      <c r="G67" s="2">
        <v>0.74621470588235317</v>
      </c>
      <c r="H67" s="7">
        <v>0</v>
      </c>
    </row>
    <row r="68" spans="1:8" x14ac:dyDescent="0.3">
      <c r="A68">
        <v>67</v>
      </c>
      <c r="B68" s="2">
        <v>26.898866116158128</v>
      </c>
      <c r="C68" s="2">
        <v>7.233246778132453</v>
      </c>
      <c r="D68" s="2">
        <v>11.22351675547425</v>
      </c>
      <c r="E68" s="2">
        <v>1.4795430000000001</v>
      </c>
      <c r="F68" s="2">
        <v>0.2156635251798561</v>
      </c>
      <c r="G68" s="2">
        <v>1.186913970588235</v>
      </c>
      <c r="H68" s="7">
        <v>0</v>
      </c>
    </row>
    <row r="69" spans="1:8" x14ac:dyDescent="0.3">
      <c r="A69">
        <v>68</v>
      </c>
      <c r="B69" s="2">
        <v>26.53140249059096</v>
      </c>
      <c r="C69" s="2">
        <v>6.6949009030865527</v>
      </c>
      <c r="D69" s="2">
        <v>10.412525387032471</v>
      </c>
      <c r="E69" s="2">
        <v>1.298431333333333</v>
      </c>
      <c r="F69" s="2">
        <v>0.23334086330935261</v>
      </c>
      <c r="G69" s="2">
        <v>1.159877205882353</v>
      </c>
      <c r="H69" s="7">
        <v>0</v>
      </c>
    </row>
    <row r="70" spans="1:8" x14ac:dyDescent="0.3">
      <c r="A70">
        <v>69</v>
      </c>
      <c r="B70" s="2">
        <v>27.187021045559732</v>
      </c>
      <c r="C70" s="2">
        <v>6.2141140209700874</v>
      </c>
      <c r="D70" s="2">
        <v>9.8814701254639985</v>
      </c>
      <c r="E70" s="2">
        <v>1.171188777777777</v>
      </c>
      <c r="F70" s="2">
        <v>0.26987402877697841</v>
      </c>
      <c r="G70" s="2">
        <v>1.0517301470588241</v>
      </c>
      <c r="H70" s="7">
        <v>0</v>
      </c>
    </row>
    <row r="71" spans="1:8" x14ac:dyDescent="0.3">
      <c r="A71">
        <v>70</v>
      </c>
      <c r="B71" s="2">
        <v>27.627184309278679</v>
      </c>
      <c r="C71" s="2">
        <v>5.9274476640274063</v>
      </c>
      <c r="D71" s="2">
        <v>9.3833485235276797</v>
      </c>
      <c r="E71" s="2">
        <v>1.0569491111111109</v>
      </c>
      <c r="F71" s="2">
        <v>0.29697928057553957</v>
      </c>
      <c r="G71" s="2">
        <v>0.94899044117647069</v>
      </c>
      <c r="H71" s="7">
        <v>0</v>
      </c>
    </row>
    <row r="72" spans="1:8" x14ac:dyDescent="0.3">
      <c r="A72">
        <v>71</v>
      </c>
      <c r="B72" s="2">
        <v>27.78315807840432</v>
      </c>
      <c r="C72" s="2">
        <v>5.6125661144722567</v>
      </c>
      <c r="D72" s="2">
        <v>8.9579554199456997</v>
      </c>
      <c r="E72" s="2">
        <v>0.97707422222222218</v>
      </c>
      <c r="F72" s="2">
        <v>0.29580079136690651</v>
      </c>
      <c r="G72" s="2">
        <v>0.88680588235294133</v>
      </c>
      <c r="H72" s="7">
        <v>0</v>
      </c>
    </row>
    <row r="73" spans="1:8" x14ac:dyDescent="0.3">
      <c r="A73">
        <v>72</v>
      </c>
      <c r="B73" s="2">
        <v>27.853214093350569</v>
      </c>
      <c r="C73" s="2">
        <v>5.3383144422790618</v>
      </c>
      <c r="D73" s="2">
        <v>8.5092343074576107</v>
      </c>
      <c r="E73" s="2">
        <v>0.92320511111111103</v>
      </c>
      <c r="F73" s="2">
        <v>0.36297467625899282</v>
      </c>
      <c r="G73" s="2">
        <v>0.81921397058823531</v>
      </c>
      <c r="H73" s="7">
        <v>0</v>
      </c>
    </row>
    <row r="74" spans="1:8" x14ac:dyDescent="0.3">
      <c r="A74">
        <v>73</v>
      </c>
      <c r="B74" s="2">
        <v>28.370042430029581</v>
      </c>
      <c r="C74" s="2">
        <v>5.0572911238588736</v>
      </c>
      <c r="D74" s="2">
        <v>7.9644566877090757</v>
      </c>
      <c r="E74" s="2">
        <v>0.873051111111111</v>
      </c>
      <c r="F74" s="2">
        <v>0.32526302158273379</v>
      </c>
      <c r="G74" s="2">
        <v>0.7408073529411765</v>
      </c>
      <c r="H74" s="7">
        <v>0</v>
      </c>
    </row>
    <row r="75" spans="1:8" x14ac:dyDescent="0.3">
      <c r="A75">
        <v>74</v>
      </c>
      <c r="B75" s="2">
        <v>29.365366566907571</v>
      </c>
      <c r="C75" s="2">
        <v>4.8970288298200533</v>
      </c>
      <c r="D75" s="2">
        <v>7.5294579334010514</v>
      </c>
      <c r="E75" s="2">
        <v>0.84333022222222187</v>
      </c>
      <c r="F75" s="2">
        <v>0.33822640287769778</v>
      </c>
      <c r="G75" s="2">
        <v>0.6732154411764707</v>
      </c>
      <c r="H75" s="7">
        <v>0</v>
      </c>
    </row>
    <row r="76" spans="1:8" x14ac:dyDescent="0.3">
      <c r="A76">
        <v>75</v>
      </c>
      <c r="B76" s="2">
        <v>30.795566721093468</v>
      </c>
      <c r="C76" s="2">
        <v>4.7582100821667073</v>
      </c>
      <c r="D76" s="2">
        <v>7.1781655639914144</v>
      </c>
      <c r="E76" s="2">
        <v>0.81453811111111096</v>
      </c>
      <c r="F76" s="2">
        <v>0.38536597122302158</v>
      </c>
      <c r="G76" s="2">
        <v>0.62725294117647068</v>
      </c>
      <c r="H76" s="7">
        <v>0</v>
      </c>
    </row>
    <row r="77" spans="1:8" x14ac:dyDescent="0.3">
      <c r="A77">
        <v>76</v>
      </c>
      <c r="B77" s="2">
        <v>32.467658398584383</v>
      </c>
      <c r="C77" s="2">
        <v>4.6600212118753159</v>
      </c>
      <c r="D77" s="2">
        <v>6.9558633614743801</v>
      </c>
      <c r="E77" s="2">
        <v>0.8006064444444444</v>
      </c>
      <c r="F77" s="2">
        <v>0.33233395683453237</v>
      </c>
      <c r="G77" s="2">
        <v>0.60021617647058823</v>
      </c>
      <c r="H77" s="7">
        <v>0</v>
      </c>
    </row>
    <row r="78" spans="1:8" x14ac:dyDescent="0.3">
      <c r="A78">
        <v>77</v>
      </c>
      <c r="B78" s="2">
        <v>33.833089784235057</v>
      </c>
      <c r="C78" s="2">
        <v>4.4421999249070581</v>
      </c>
      <c r="D78" s="2">
        <v>6.8021729498576642</v>
      </c>
      <c r="E78" s="2">
        <v>0.79131866666666661</v>
      </c>
      <c r="F78" s="2">
        <v>0.37004561151079129</v>
      </c>
      <c r="G78" s="2">
        <v>0.60021617647058823</v>
      </c>
      <c r="H78" s="7">
        <v>0</v>
      </c>
    </row>
    <row r="79" spans="1:8" x14ac:dyDescent="0.3">
      <c r="A79">
        <v>78</v>
      </c>
      <c r="B79" s="2">
        <v>35.924195739800773</v>
      </c>
      <c r="C79" s="2">
        <v>4.2311502841657944</v>
      </c>
      <c r="D79" s="2">
        <v>6.7994284782216523</v>
      </c>
      <c r="E79" s="2">
        <v>0.78481722222222217</v>
      </c>
      <c r="F79" s="2">
        <v>0.33822640287769778</v>
      </c>
      <c r="G79" s="2">
        <v>0.62454926470588246</v>
      </c>
      <c r="H79" s="7">
        <v>0</v>
      </c>
    </row>
    <row r="80" spans="1:8" x14ac:dyDescent="0.3">
      <c r="A80">
        <v>79</v>
      </c>
      <c r="B80" s="2">
        <v>39.128267064890068</v>
      </c>
      <c r="C80" s="2">
        <v>4.1081320443754308</v>
      </c>
      <c r="D80" s="2">
        <v>6.7500279887734207</v>
      </c>
      <c r="E80" s="2">
        <v>0.75974022222222226</v>
      </c>
      <c r="F80" s="2">
        <v>0.37829503597122288</v>
      </c>
      <c r="G80" s="2">
        <v>0.60291985294117645</v>
      </c>
      <c r="H80" s="7">
        <v>0</v>
      </c>
    </row>
    <row r="81" spans="1:8" x14ac:dyDescent="0.3">
      <c r="A81">
        <v>80</v>
      </c>
      <c r="B81" s="2">
        <v>41.69522519744924</v>
      </c>
      <c r="C81" s="2">
        <v>4.1149036906024232</v>
      </c>
      <c r="D81" s="2">
        <v>6.8405955527618438</v>
      </c>
      <c r="E81" s="2">
        <v>0.73187688888888891</v>
      </c>
      <c r="F81" s="2">
        <v>0.41364971223021568</v>
      </c>
      <c r="G81" s="2">
        <v>0.50558749999999997</v>
      </c>
      <c r="H81" s="7">
        <v>0</v>
      </c>
    </row>
    <row r="82" spans="1:8" x14ac:dyDescent="0.3">
      <c r="A82">
        <v>81</v>
      </c>
      <c r="B82" s="2">
        <v>44.336204779762959</v>
      </c>
      <c r="C82" s="2">
        <v>4.2796804154592394</v>
      </c>
      <c r="D82" s="2">
        <v>7.2193326385316068</v>
      </c>
      <c r="E82" s="2">
        <v>0.72537544444444446</v>
      </c>
      <c r="F82" s="2">
        <v>0.42189913669064738</v>
      </c>
      <c r="G82" s="2">
        <v>0.47314338235294118</v>
      </c>
      <c r="H82" s="7">
        <v>0</v>
      </c>
    </row>
    <row r="83" spans="1:8" x14ac:dyDescent="0.3">
      <c r="A83">
        <v>82</v>
      </c>
      <c r="B83" s="2">
        <v>47.369762408096278</v>
      </c>
      <c r="C83" s="2">
        <v>4.2537224382557683</v>
      </c>
      <c r="D83" s="2">
        <v>7.2001213370795174</v>
      </c>
      <c r="E83" s="2">
        <v>0.74952366666666659</v>
      </c>
      <c r="F83" s="2">
        <v>0.42189913669064738</v>
      </c>
      <c r="G83" s="2">
        <v>0.43258823529411772</v>
      </c>
      <c r="H83" s="7">
        <v>0</v>
      </c>
    </row>
    <row r="84" spans="1:8" x14ac:dyDescent="0.3">
      <c r="A84">
        <v>83</v>
      </c>
      <c r="B84" s="2">
        <v>52.596205485407793</v>
      </c>
      <c r="C84" s="2">
        <v>4.3575543470696534</v>
      </c>
      <c r="D84" s="2">
        <v>7.1781655639914144</v>
      </c>
      <c r="E84" s="2">
        <v>0.74673733333333348</v>
      </c>
      <c r="F84" s="2">
        <v>0.34058338129496402</v>
      </c>
      <c r="G84" s="2">
        <v>0.39473676470588243</v>
      </c>
      <c r="H84" s="7">
        <v>0</v>
      </c>
    </row>
    <row r="85" spans="1:8" x14ac:dyDescent="0.3">
      <c r="A85">
        <v>84</v>
      </c>
      <c r="B85" s="2">
        <v>55.775162390044649</v>
      </c>
      <c r="C85" s="2">
        <v>4.4478429634295518</v>
      </c>
      <c r="D85" s="2">
        <v>7.3140169099740477</v>
      </c>
      <c r="E85" s="2">
        <v>0.73094811111111113</v>
      </c>
      <c r="F85" s="2">
        <v>0.45253985611510789</v>
      </c>
      <c r="G85" s="2">
        <v>0.38121838235294131</v>
      </c>
      <c r="H85" s="7">
        <v>0</v>
      </c>
    </row>
    <row r="86" spans="1:8" x14ac:dyDescent="0.3">
      <c r="A86">
        <v>85</v>
      </c>
      <c r="B86" s="2">
        <v>56.540491308042483</v>
      </c>
      <c r="C86" s="2">
        <v>4.5042733486544906</v>
      </c>
      <c r="D86" s="2">
        <v>7.1438596685412561</v>
      </c>
      <c r="E86" s="2">
        <v>0.70958622222222234</v>
      </c>
      <c r="F86" s="2">
        <v>0.50439338129496403</v>
      </c>
      <c r="G86" s="2">
        <v>0.34877426470588241</v>
      </c>
      <c r="H86" s="7">
        <v>0</v>
      </c>
    </row>
    <row r="87" spans="1:8" x14ac:dyDescent="0.3">
      <c r="A87">
        <v>86</v>
      </c>
      <c r="B87" s="2">
        <v>56.81542812141646</v>
      </c>
      <c r="C87" s="2">
        <v>4.529102718153462</v>
      </c>
      <c r="D87" s="2">
        <v>7.0244751523746993</v>
      </c>
      <c r="E87" s="2">
        <v>0.71144377777777779</v>
      </c>
      <c r="F87" s="2">
        <v>0.5503544604316547</v>
      </c>
      <c r="G87" s="2">
        <v>0.33795955882352952</v>
      </c>
      <c r="H87" s="7">
        <v>0</v>
      </c>
    </row>
    <row r="88" spans="1:8" x14ac:dyDescent="0.3">
      <c r="A88">
        <v>87</v>
      </c>
      <c r="B88" s="2">
        <v>55.723611737537027</v>
      </c>
      <c r="C88" s="2">
        <v>4.416241947703587</v>
      </c>
      <c r="D88" s="2">
        <v>6.6937663202351594</v>
      </c>
      <c r="E88" s="2">
        <v>0.72258911111111113</v>
      </c>
      <c r="F88" s="2">
        <v>0.51971374100719425</v>
      </c>
      <c r="G88" s="2">
        <v>0.30281176470588239</v>
      </c>
      <c r="H88" s="7">
        <v>0</v>
      </c>
    </row>
    <row r="89" spans="1:8" x14ac:dyDescent="0.3">
      <c r="A89">
        <v>88</v>
      </c>
      <c r="B89" s="2">
        <v>53.698596362109278</v>
      </c>
      <c r="C89" s="2">
        <v>4.0381583666965071</v>
      </c>
      <c r="D89" s="2">
        <v>6.3109125270113777</v>
      </c>
      <c r="E89" s="2">
        <v>0.69008188888888877</v>
      </c>
      <c r="F89" s="2">
        <v>0.48318057553956828</v>
      </c>
      <c r="G89" s="2">
        <v>0.30281176470588239</v>
      </c>
      <c r="H89" s="7">
        <v>0</v>
      </c>
    </row>
    <row r="90" spans="1:8" x14ac:dyDescent="0.3">
      <c r="A90">
        <v>89</v>
      </c>
      <c r="B90" s="2">
        <v>52.678157804778877</v>
      </c>
      <c r="C90" s="2">
        <v>3.6747466858479121</v>
      </c>
      <c r="D90" s="2">
        <v>6.0227430052300361</v>
      </c>
      <c r="E90" s="2">
        <v>0.69008188888888877</v>
      </c>
      <c r="F90" s="2">
        <v>0.47139568345323729</v>
      </c>
      <c r="G90" s="2">
        <v>0.33795955882352952</v>
      </c>
      <c r="H90" s="7">
        <v>0</v>
      </c>
    </row>
    <row r="91" spans="1:8" x14ac:dyDescent="0.3">
      <c r="A91">
        <v>90</v>
      </c>
      <c r="B91" s="2">
        <v>53.775261435069361</v>
      </c>
      <c r="C91" s="2">
        <v>3.296663104840833</v>
      </c>
      <c r="D91" s="2">
        <v>5.8992417816094624</v>
      </c>
      <c r="E91" s="2">
        <v>0.69193944444444433</v>
      </c>
      <c r="F91" s="2">
        <v>0.44782589928057548</v>
      </c>
      <c r="G91" s="2">
        <v>0.36499632352941191</v>
      </c>
      <c r="H91" s="7">
        <v>0</v>
      </c>
    </row>
    <row r="92" spans="1:8" x14ac:dyDescent="0.3">
      <c r="A92">
        <v>91</v>
      </c>
      <c r="B92" s="2">
        <v>53.213491503896527</v>
      </c>
      <c r="C92" s="2">
        <v>2.9366372471057338</v>
      </c>
      <c r="D92" s="2">
        <v>5.7537847849007839</v>
      </c>
      <c r="E92" s="2">
        <v>0.72723299999999991</v>
      </c>
      <c r="F92" s="2">
        <v>0.4360410071942446</v>
      </c>
      <c r="G92" s="2">
        <v>0.34607058823529419</v>
      </c>
      <c r="H92" s="7">
        <v>0</v>
      </c>
    </row>
    <row r="93" spans="1:8" x14ac:dyDescent="0.3">
      <c r="A93">
        <v>92</v>
      </c>
      <c r="B93" s="2">
        <v>49.626094814006933</v>
      </c>
      <c r="C93" s="2">
        <v>3.4614398296976492</v>
      </c>
      <c r="D93" s="2">
        <v>5.8992417816094624</v>
      </c>
      <c r="E93" s="2">
        <v>0.85447555555555565</v>
      </c>
      <c r="F93" s="2">
        <v>0.44429043165467619</v>
      </c>
      <c r="G93" s="2">
        <v>0.43258823529411772</v>
      </c>
      <c r="H93" s="7">
        <v>0</v>
      </c>
    </row>
    <row r="94" spans="1:8" x14ac:dyDescent="0.3">
      <c r="A94">
        <v>93</v>
      </c>
      <c r="B94" s="2">
        <v>49.434432131606783</v>
      </c>
      <c r="C94" s="2">
        <v>3.4907836300146169</v>
      </c>
      <c r="D94" s="2">
        <v>6.1983891899348551</v>
      </c>
      <c r="E94" s="2">
        <v>0.92506266666666659</v>
      </c>
      <c r="F94" s="2">
        <v>0.4277915827338129</v>
      </c>
      <c r="G94" s="2">
        <v>0.51910588235294131</v>
      </c>
      <c r="H94" s="7">
        <v>0</v>
      </c>
    </row>
    <row r="95" spans="1:8" x14ac:dyDescent="0.3">
      <c r="A95">
        <v>94</v>
      </c>
      <c r="B95" s="2">
        <v>50.806472575271258</v>
      </c>
      <c r="C95" s="2">
        <v>3.1285005568705202</v>
      </c>
      <c r="D95" s="2">
        <v>6.003531703777945</v>
      </c>
      <c r="E95" s="2">
        <v>0.92320511111111103</v>
      </c>
      <c r="F95" s="2">
        <v>0.43839798561151078</v>
      </c>
      <c r="G95" s="2">
        <v>0.58399411764705889</v>
      </c>
      <c r="H95" s="7">
        <v>0</v>
      </c>
    </row>
    <row r="96" spans="1:8" x14ac:dyDescent="0.3">
      <c r="A96">
        <v>95</v>
      </c>
      <c r="B96" s="2">
        <v>52.943841936933573</v>
      </c>
      <c r="C96" s="2">
        <v>2.716558744728478</v>
      </c>
      <c r="D96" s="2">
        <v>5.6934064089085039</v>
      </c>
      <c r="E96" s="2">
        <v>0.86562088888888855</v>
      </c>
      <c r="F96" s="2">
        <v>0.45018287769784182</v>
      </c>
      <c r="G96" s="2">
        <v>0.53532794117647065</v>
      </c>
      <c r="H96" s="7">
        <v>0</v>
      </c>
    </row>
    <row r="97" spans="1:8" x14ac:dyDescent="0.3">
      <c r="A97">
        <v>96</v>
      </c>
      <c r="B97" s="2">
        <v>53.532048100161603</v>
      </c>
      <c r="C97" s="2">
        <v>2.7244589986599692</v>
      </c>
      <c r="D97" s="2">
        <v>5.5767663643779608</v>
      </c>
      <c r="E97" s="2">
        <v>0.81825322222222219</v>
      </c>
      <c r="F97" s="2">
        <v>0.40304330935251798</v>
      </c>
      <c r="G97" s="2">
        <v>0.50558749999999997</v>
      </c>
      <c r="H97" s="7">
        <v>0</v>
      </c>
    </row>
    <row r="98" spans="1:8" x14ac:dyDescent="0.3">
      <c r="A98">
        <v>97</v>
      </c>
      <c r="B98" s="2">
        <v>52.651721572723687</v>
      </c>
      <c r="C98" s="2">
        <v>2.7143015293194801</v>
      </c>
      <c r="D98" s="2">
        <v>5.5726496569239412</v>
      </c>
      <c r="E98" s="2">
        <v>0.80246399999999996</v>
      </c>
      <c r="F98" s="2">
        <v>0.365331654676259</v>
      </c>
      <c r="G98" s="2">
        <v>0.49206911764705891</v>
      </c>
      <c r="H98" s="7">
        <v>0</v>
      </c>
    </row>
    <row r="99" spans="1:8" x14ac:dyDescent="0.3">
      <c r="A99">
        <v>98</v>
      </c>
      <c r="B99" s="2">
        <v>51.948517800055583</v>
      </c>
      <c r="C99" s="2">
        <v>2.6680286134350322</v>
      </c>
      <c r="D99" s="2">
        <v>5.5067823376596339</v>
      </c>
      <c r="E99" s="2">
        <v>0.78853233333333328</v>
      </c>
      <c r="F99" s="2">
        <v>0.35001129496402877</v>
      </c>
      <c r="G99" s="2">
        <v>0.448810294117647</v>
      </c>
      <c r="H99" s="7">
        <v>0</v>
      </c>
    </row>
    <row r="100" spans="1:8" x14ac:dyDescent="0.3">
      <c r="A100">
        <v>99</v>
      </c>
      <c r="B100" s="2">
        <v>52.610745413038131</v>
      </c>
      <c r="C100" s="2">
        <v>2.629655951482075</v>
      </c>
      <c r="D100" s="2">
        <v>5.528738110747736</v>
      </c>
      <c r="E100" s="2">
        <v>0.78574599999999994</v>
      </c>
      <c r="F100" s="2">
        <v>0.21094956834532369</v>
      </c>
      <c r="G100" s="2">
        <v>0.42718088235294133</v>
      </c>
      <c r="H100" s="7">
        <v>0</v>
      </c>
    </row>
    <row r="101" spans="1:8" x14ac:dyDescent="0.3">
      <c r="A101">
        <v>100</v>
      </c>
      <c r="B101" s="2">
        <v>53.47917563605121</v>
      </c>
      <c r="C101" s="2">
        <v>2.5235668272591929</v>
      </c>
      <c r="D101" s="2">
        <v>5.3997479438551359</v>
      </c>
      <c r="E101" s="2">
        <v>0.76717044444444438</v>
      </c>
      <c r="F101" s="2">
        <v>0.25691064748201442</v>
      </c>
      <c r="G101" s="2">
        <v>0.39744044117647048</v>
      </c>
      <c r="H101" s="7">
        <v>0</v>
      </c>
    </row>
    <row r="102" spans="1:8" x14ac:dyDescent="0.3">
      <c r="A102">
        <v>101</v>
      </c>
      <c r="B102" s="2">
        <v>54.631795353657587</v>
      </c>
      <c r="C102" s="2">
        <v>2.3903911181283402</v>
      </c>
      <c r="D102" s="2">
        <v>5.196657042790191</v>
      </c>
      <c r="E102" s="2">
        <v>0.74580855555555559</v>
      </c>
      <c r="F102" s="2">
        <v>0.28519438848920847</v>
      </c>
      <c r="G102" s="2">
        <v>0.33795955882352952</v>
      </c>
      <c r="H102" s="7">
        <v>0</v>
      </c>
    </row>
    <row r="103" spans="1:8" x14ac:dyDescent="0.3">
      <c r="A103">
        <v>102</v>
      </c>
      <c r="B103" s="2">
        <v>56.878875078348933</v>
      </c>
      <c r="C103" s="2">
        <v>2.4648792266252579</v>
      </c>
      <c r="D103" s="2">
        <v>5.2501742396924396</v>
      </c>
      <c r="E103" s="2">
        <v>0.73744955555555558</v>
      </c>
      <c r="F103" s="2">
        <v>0.31819208633093532</v>
      </c>
      <c r="G103" s="2">
        <v>0.30010808823529411</v>
      </c>
      <c r="H103" s="7">
        <v>0</v>
      </c>
    </row>
    <row r="104" spans="1:8" x14ac:dyDescent="0.3">
      <c r="A104">
        <v>103</v>
      </c>
      <c r="B104" s="2">
        <v>57.991840447872512</v>
      </c>
      <c r="C104" s="2">
        <v>2.3870052950148448</v>
      </c>
      <c r="D104" s="2">
        <v>5.1362786667979101</v>
      </c>
      <c r="E104" s="2">
        <v>0.71701644444444435</v>
      </c>
      <c r="F104" s="2">
        <v>0.33115546762589942</v>
      </c>
      <c r="G104" s="2">
        <v>0.28388602941176477</v>
      </c>
      <c r="H104" s="7">
        <v>0</v>
      </c>
    </row>
    <row r="105" spans="1:8" x14ac:dyDescent="0.3">
      <c r="A105">
        <v>104</v>
      </c>
      <c r="B105" s="2">
        <v>58.261490014835481</v>
      </c>
      <c r="C105" s="2">
        <v>2.3418609868348961</v>
      </c>
      <c r="D105" s="2">
        <v>5.0759002908056274</v>
      </c>
      <c r="E105" s="2">
        <v>0.70772866666666667</v>
      </c>
      <c r="F105" s="2">
        <v>0.33822640287769778</v>
      </c>
      <c r="G105" s="2">
        <v>0.25955294117647071</v>
      </c>
      <c r="H105" s="7">
        <v>0</v>
      </c>
    </row>
    <row r="106" spans="1:8" x14ac:dyDescent="0.3">
      <c r="A106">
        <v>105</v>
      </c>
      <c r="B106" s="2">
        <v>56.898702252390322</v>
      </c>
      <c r="C106" s="2">
        <v>2.308002755699933</v>
      </c>
      <c r="D106" s="2">
        <v>5.1294174877078778</v>
      </c>
      <c r="E106" s="2">
        <v>0.70494233333333334</v>
      </c>
      <c r="F106" s="2">
        <v>0.32290604316546773</v>
      </c>
      <c r="G106" s="2">
        <v>0.22170147058823531</v>
      </c>
      <c r="H106" s="7">
        <v>0</v>
      </c>
    </row>
    <row r="107" spans="1:8" x14ac:dyDescent="0.3">
      <c r="A107">
        <v>106</v>
      </c>
      <c r="B107" s="2">
        <v>56.396413843341662</v>
      </c>
      <c r="C107" s="2">
        <v>2.2165855316355341</v>
      </c>
      <c r="D107" s="2">
        <v>5.1911680995181646</v>
      </c>
      <c r="E107" s="2">
        <v>0.73094811111111113</v>
      </c>
      <c r="F107" s="2">
        <v>0.31937057553956832</v>
      </c>
      <c r="G107" s="2">
        <v>0.21359044117647061</v>
      </c>
      <c r="H107" s="7">
        <v>0</v>
      </c>
    </row>
    <row r="108" spans="1:8" x14ac:dyDescent="0.3">
      <c r="A108">
        <v>107</v>
      </c>
      <c r="B108" s="2">
        <v>54.687311440973467</v>
      </c>
      <c r="C108" s="2">
        <v>2.4186063107408091</v>
      </c>
      <c r="D108" s="2">
        <v>5.2419408247844013</v>
      </c>
      <c r="E108" s="2">
        <v>0.71144377777777779</v>
      </c>
      <c r="F108" s="2">
        <v>0.31701359712230209</v>
      </c>
      <c r="G108" s="2">
        <v>0.20818308823529411</v>
      </c>
      <c r="H108" s="7">
        <v>0</v>
      </c>
    </row>
    <row r="109" spans="1:8" x14ac:dyDescent="0.3">
      <c r="A109">
        <v>108</v>
      </c>
      <c r="B109" s="2">
        <v>51.898288959150698</v>
      </c>
      <c r="C109" s="2">
        <v>2.345246809948391</v>
      </c>
      <c r="D109" s="2">
        <v>5.0964838280757236</v>
      </c>
      <c r="E109" s="2">
        <v>0.68079411111111099</v>
      </c>
      <c r="F109" s="2">
        <v>0.30287172661870498</v>
      </c>
      <c r="G109" s="2">
        <v>0.1649242647058824</v>
      </c>
      <c r="H109" s="7">
        <v>0</v>
      </c>
    </row>
    <row r="110" spans="1:8" x14ac:dyDescent="0.3">
      <c r="A110">
        <v>109</v>
      </c>
      <c r="B110" s="2">
        <v>50.004132932396182</v>
      </c>
      <c r="C110" s="2">
        <v>2.3486326330618872</v>
      </c>
      <c r="D110" s="2">
        <v>5.1582344398860123</v>
      </c>
      <c r="E110" s="2">
        <v>0.69472577777777778</v>
      </c>
      <c r="F110" s="2">
        <v>0.33351244604316538</v>
      </c>
      <c r="G110" s="2">
        <v>0.18385000000000001</v>
      </c>
      <c r="H110" s="7">
        <v>0</v>
      </c>
    </row>
    <row r="111" spans="1:8" x14ac:dyDescent="0.3">
      <c r="A111">
        <v>110</v>
      </c>
      <c r="B111" s="2">
        <v>47.273270161094807</v>
      </c>
      <c r="C111" s="2">
        <v>2.2481865473614988</v>
      </c>
      <c r="D111" s="2">
        <v>5.0580612251715458</v>
      </c>
      <c r="E111" s="2">
        <v>0.68543799999999988</v>
      </c>
      <c r="F111" s="2">
        <v>0.28048043165467629</v>
      </c>
      <c r="G111" s="2">
        <v>0.18385000000000001</v>
      </c>
      <c r="H111" s="7">
        <v>0</v>
      </c>
    </row>
    <row r="112" spans="1:8" x14ac:dyDescent="0.3">
      <c r="A112">
        <v>111</v>
      </c>
      <c r="B112" s="2">
        <v>44.753897246234992</v>
      </c>
      <c r="C112" s="2">
        <v>2.171441223455584</v>
      </c>
      <c r="D112" s="2">
        <v>4.8892762195567601</v>
      </c>
      <c r="E112" s="2">
        <v>0.6677912222222222</v>
      </c>
      <c r="F112" s="2">
        <v>0.26516007194244612</v>
      </c>
      <c r="G112" s="2">
        <v>0.2298125</v>
      </c>
      <c r="H112" s="7">
        <v>0</v>
      </c>
    </row>
    <row r="113" spans="1:8" x14ac:dyDescent="0.3">
      <c r="A113">
        <v>112</v>
      </c>
      <c r="B113" s="2">
        <v>42.960198901290198</v>
      </c>
      <c r="C113" s="2">
        <v>2.0709951377551961</v>
      </c>
      <c r="D113" s="2">
        <v>4.7163745064879548</v>
      </c>
      <c r="E113" s="2">
        <v>0.64178544444444441</v>
      </c>
      <c r="F113" s="2">
        <v>0.2510182014388489</v>
      </c>
      <c r="G113" s="2">
        <v>0.26766397058823532</v>
      </c>
      <c r="H113" s="7">
        <v>0</v>
      </c>
    </row>
    <row r="114" spans="1:8" x14ac:dyDescent="0.3">
      <c r="A114">
        <v>113</v>
      </c>
      <c r="B114" s="2">
        <v>41.448046427733203</v>
      </c>
      <c r="C114" s="2">
        <v>1.96829183664581</v>
      </c>
      <c r="D114" s="2">
        <v>4.5969899903213989</v>
      </c>
      <c r="E114" s="2">
        <v>0.61949477777777773</v>
      </c>
      <c r="F114" s="2">
        <v>0.24630424460431649</v>
      </c>
      <c r="G114" s="2">
        <v>0.29199705882352939</v>
      </c>
      <c r="H114" s="7">
        <v>0</v>
      </c>
    </row>
    <row r="115" spans="1:8" x14ac:dyDescent="0.3">
      <c r="A115">
        <v>114</v>
      </c>
      <c r="B115" s="2">
        <v>40.463296783677293</v>
      </c>
      <c r="C115" s="2">
        <v>1.896060943557891</v>
      </c>
      <c r="D115" s="2">
        <v>4.5091668979689903</v>
      </c>
      <c r="E115" s="2">
        <v>0.60370555555555561</v>
      </c>
      <c r="F115" s="2">
        <v>0.17559489208633089</v>
      </c>
      <c r="G115" s="2">
        <v>0.29740441176470589</v>
      </c>
      <c r="H115" s="7">
        <v>0</v>
      </c>
    </row>
    <row r="116" spans="1:8" x14ac:dyDescent="0.3">
      <c r="A116">
        <v>115</v>
      </c>
      <c r="B116" s="2">
        <v>41.179718672372999</v>
      </c>
      <c r="C116" s="2">
        <v>1.9502341133738299</v>
      </c>
      <c r="D116" s="2">
        <v>4.548961736691175</v>
      </c>
      <c r="E116" s="2">
        <v>0.60370555555555561</v>
      </c>
      <c r="F116" s="2">
        <v>0.11549194244604311</v>
      </c>
      <c r="G116" s="2">
        <v>0.27847867647058833</v>
      </c>
      <c r="H116" s="7">
        <v>0</v>
      </c>
    </row>
    <row r="117" spans="1:8" x14ac:dyDescent="0.3">
      <c r="A117">
        <v>116</v>
      </c>
      <c r="B117" s="2">
        <v>55.119543835075888</v>
      </c>
      <c r="C117" s="2">
        <v>2.8903643312212841</v>
      </c>
      <c r="D117" s="2">
        <v>4.7987086555683387</v>
      </c>
      <c r="E117" s="2">
        <v>0.61392211111111117</v>
      </c>
      <c r="F117" s="2">
        <v>0.19445071942446049</v>
      </c>
      <c r="G117" s="2">
        <v>0.26766397058823532</v>
      </c>
      <c r="H117" s="7">
        <v>0</v>
      </c>
    </row>
    <row r="118" spans="1:8" x14ac:dyDescent="0.3">
      <c r="A118">
        <v>117</v>
      </c>
      <c r="B118" s="2">
        <v>72.694350905367713</v>
      </c>
      <c r="C118" s="2">
        <v>3.2853770277958452</v>
      </c>
      <c r="D118" s="2">
        <v>5.0566889893535389</v>
      </c>
      <c r="E118" s="2">
        <v>0.63714155555555563</v>
      </c>
      <c r="F118" s="2">
        <v>0.23923330935251799</v>
      </c>
      <c r="G118" s="2">
        <v>0.46232867647058828</v>
      </c>
      <c r="H118" s="7">
        <v>0</v>
      </c>
    </row>
    <row r="119" spans="1:8" x14ac:dyDescent="0.3">
      <c r="A119">
        <v>118</v>
      </c>
      <c r="B119" s="2">
        <v>75.491304256807055</v>
      </c>
      <c r="C119" s="2">
        <v>3.2413613273203938</v>
      </c>
      <c r="D119" s="2">
        <v>5.7222233610866367</v>
      </c>
      <c r="E119" s="2">
        <v>0.6334264444444444</v>
      </c>
      <c r="F119" s="2">
        <v>0.28872985611510787</v>
      </c>
      <c r="G119" s="2">
        <v>0.51640220588235297</v>
      </c>
      <c r="H119" s="7">
        <v>0</v>
      </c>
    </row>
    <row r="120" spans="1:8" x14ac:dyDescent="0.3">
      <c r="A120">
        <v>119</v>
      </c>
      <c r="B120" s="2">
        <v>71.548340245775123</v>
      </c>
      <c r="C120" s="2">
        <v>3.016768394125144</v>
      </c>
      <c r="D120" s="2">
        <v>5.906102960699493</v>
      </c>
      <c r="E120" s="2">
        <v>0.64271422222222219</v>
      </c>
      <c r="F120" s="2">
        <v>0.29226532374100722</v>
      </c>
      <c r="G120" s="2">
        <v>0.50018014705882352</v>
      </c>
      <c r="H120" s="7">
        <v>0</v>
      </c>
    </row>
    <row r="121" spans="1:8" x14ac:dyDescent="0.3">
      <c r="A121">
        <v>120</v>
      </c>
      <c r="B121" s="2">
        <v>65.637198758234121</v>
      </c>
      <c r="C121" s="2">
        <v>2.7808893838849058</v>
      </c>
      <c r="D121" s="2">
        <v>5.5191324600216927</v>
      </c>
      <c r="E121" s="2">
        <v>0.63156888888888885</v>
      </c>
      <c r="F121" s="2">
        <v>0.25455366906474819</v>
      </c>
      <c r="G121" s="2">
        <v>0.45151397058823539</v>
      </c>
      <c r="H121" s="7">
        <v>0</v>
      </c>
    </row>
    <row r="122" spans="1:8" x14ac:dyDescent="0.3">
      <c r="A122">
        <v>121</v>
      </c>
      <c r="B122" s="2">
        <v>60.889251481121597</v>
      </c>
      <c r="C122" s="2">
        <v>2.7199445678419738</v>
      </c>
      <c r="D122" s="2">
        <v>4.9798437835451814</v>
      </c>
      <c r="E122" s="2">
        <v>0.6297113333333334</v>
      </c>
      <c r="F122" s="2">
        <v>0.15556057553956831</v>
      </c>
      <c r="G122" s="2">
        <v>0.35958897058823541</v>
      </c>
      <c r="H122" s="7">
        <v>0</v>
      </c>
    </row>
    <row r="123" spans="1:8" x14ac:dyDescent="0.3">
      <c r="A123">
        <v>122</v>
      </c>
      <c r="B123" s="2">
        <v>60.947411191643027</v>
      </c>
      <c r="C123" s="2">
        <v>2.7718605222489172</v>
      </c>
      <c r="D123" s="2">
        <v>4.9496545955490419</v>
      </c>
      <c r="E123" s="2">
        <v>0.6334264444444444</v>
      </c>
      <c r="F123" s="2">
        <v>0.19327223021582729</v>
      </c>
      <c r="G123" s="2">
        <v>0.37310735294117658</v>
      </c>
      <c r="H123" s="7">
        <v>0</v>
      </c>
    </row>
    <row r="124" spans="1:8" x14ac:dyDescent="0.3">
      <c r="A124">
        <v>123</v>
      </c>
      <c r="B124" s="2">
        <v>58.914464946598727</v>
      </c>
      <c r="C124" s="2">
        <v>2.8023329302703819</v>
      </c>
      <c r="D124" s="2">
        <v>4.8041975988403633</v>
      </c>
      <c r="E124" s="2">
        <v>0.64085666666666663</v>
      </c>
      <c r="F124" s="2">
        <v>0.1072425179856115</v>
      </c>
      <c r="G124" s="2">
        <v>0.34877426470588241</v>
      </c>
      <c r="H124" s="7">
        <v>0</v>
      </c>
    </row>
    <row r="125" spans="1:8" x14ac:dyDescent="0.3">
      <c r="A125">
        <v>124</v>
      </c>
      <c r="B125" s="2">
        <v>58.376487624275583</v>
      </c>
      <c r="C125" s="2">
        <v>2.932122816287738</v>
      </c>
      <c r="D125" s="2">
        <v>4.7767528824802374</v>
      </c>
      <c r="E125" s="2">
        <v>0.64085666666666663</v>
      </c>
      <c r="F125" s="2">
        <v>0.14613266187050361</v>
      </c>
      <c r="G125" s="2">
        <v>0.35147794117647069</v>
      </c>
      <c r="H125" s="7">
        <v>0</v>
      </c>
    </row>
    <row r="126" spans="1:8" x14ac:dyDescent="0.3">
      <c r="A126">
        <v>125</v>
      </c>
      <c r="B126" s="2">
        <v>60.303688941099082</v>
      </c>
      <c r="C126" s="2">
        <v>3.20976031159443</v>
      </c>
      <c r="D126" s="2">
        <v>4.8535980882885941</v>
      </c>
      <c r="E126" s="2">
        <v>0.64457177777777763</v>
      </c>
      <c r="F126" s="2">
        <v>0.16970244604316551</v>
      </c>
      <c r="G126" s="2">
        <v>0.39744044117647048</v>
      </c>
      <c r="H126" s="7">
        <v>0</v>
      </c>
    </row>
    <row r="127" spans="1:8" x14ac:dyDescent="0.3">
      <c r="A127">
        <v>126</v>
      </c>
      <c r="B127" s="2">
        <v>62.103996344057691</v>
      </c>
      <c r="C127" s="2">
        <v>3.47046869133364</v>
      </c>
      <c r="D127" s="2">
        <v>4.64227377231561</v>
      </c>
      <c r="E127" s="2">
        <v>0.63249766666666662</v>
      </c>
      <c r="F127" s="2">
        <v>0.18502280575539559</v>
      </c>
      <c r="G127" s="2">
        <v>0.25144191176470593</v>
      </c>
      <c r="H127" s="7">
        <v>0</v>
      </c>
    </row>
    <row r="128" spans="1:8" x14ac:dyDescent="0.3">
      <c r="A128">
        <v>127</v>
      </c>
      <c r="B128" s="2">
        <v>66.914068766499909</v>
      </c>
      <c r="C128" s="2">
        <v>3.9444839272231129</v>
      </c>
      <c r="D128" s="2">
        <v>5.2021459860622166</v>
      </c>
      <c r="E128" s="2">
        <v>0.63899911111111096</v>
      </c>
      <c r="F128" s="2">
        <v>0.18973676258992811</v>
      </c>
      <c r="G128" s="2">
        <v>0.31903382352941179</v>
      </c>
      <c r="H128" s="7">
        <v>0</v>
      </c>
    </row>
    <row r="129" spans="1:8" x14ac:dyDescent="0.3">
      <c r="A129">
        <v>128</v>
      </c>
      <c r="B129" s="2">
        <v>65.5459937576437</v>
      </c>
      <c r="C129" s="2">
        <v>4.0234864665380243</v>
      </c>
      <c r="D129" s="2">
        <v>5.196657042790191</v>
      </c>
      <c r="E129" s="2">
        <v>0.63899911111111096</v>
      </c>
      <c r="F129" s="2">
        <v>0.176773381294964</v>
      </c>
      <c r="G129" s="2">
        <v>0.30551544117647073</v>
      </c>
      <c r="H129" s="7">
        <v>0</v>
      </c>
    </row>
    <row r="130" spans="1:8" x14ac:dyDescent="0.3">
      <c r="A130">
        <v>129</v>
      </c>
      <c r="B130" s="2">
        <v>63.494542150160797</v>
      </c>
      <c r="C130" s="2">
        <v>4.0246150742425231</v>
      </c>
      <c r="D130" s="2">
        <v>5.1637233831580369</v>
      </c>
      <c r="E130" s="2">
        <v>0.63992788888888885</v>
      </c>
      <c r="F130" s="2">
        <v>0.1473111510791367</v>
      </c>
      <c r="G130" s="2">
        <v>0.24333088235294109</v>
      </c>
      <c r="H130" s="7">
        <v>0</v>
      </c>
    </row>
    <row r="131" spans="1:8" x14ac:dyDescent="0.3">
      <c r="A131">
        <v>130</v>
      </c>
      <c r="B131" s="2">
        <v>63.27379961249995</v>
      </c>
      <c r="C131" s="2">
        <v>3.6431456701219478</v>
      </c>
      <c r="D131" s="2">
        <v>5.3970034722191231</v>
      </c>
      <c r="E131" s="2">
        <v>0.6297113333333334</v>
      </c>
      <c r="F131" s="2">
        <v>0.14495417266187061</v>
      </c>
      <c r="G131" s="2">
        <v>0.28658970588235289</v>
      </c>
      <c r="H131" s="7">
        <v>0</v>
      </c>
    </row>
    <row r="132" spans="1:8" x14ac:dyDescent="0.3">
      <c r="A132">
        <v>131</v>
      </c>
      <c r="B132" s="2">
        <v>62.244108373950198</v>
      </c>
      <c r="C132" s="2">
        <v>3.3609937439972621</v>
      </c>
      <c r="D132" s="2">
        <v>5.504037866023622</v>
      </c>
      <c r="E132" s="2">
        <v>0.62692500000000007</v>
      </c>
      <c r="F132" s="2">
        <v>0.11784892086330929</v>
      </c>
      <c r="G132" s="2">
        <v>0.26225661764705888</v>
      </c>
      <c r="H132" s="7">
        <v>0</v>
      </c>
    </row>
    <row r="133" spans="1:8" x14ac:dyDescent="0.3">
      <c r="A133">
        <v>132</v>
      </c>
      <c r="B133" s="2">
        <v>66.473905502780966</v>
      </c>
      <c r="C133" s="2">
        <v>3.108185618189542</v>
      </c>
      <c r="D133" s="2">
        <v>5.4436594900313393</v>
      </c>
      <c r="E133" s="2">
        <v>0.62042355555555551</v>
      </c>
      <c r="F133" s="2">
        <v>0.12609834532374101</v>
      </c>
      <c r="G133" s="2">
        <v>0.22170147058823531</v>
      </c>
      <c r="H133" s="7">
        <v>0</v>
      </c>
    </row>
    <row r="134" spans="1:8" x14ac:dyDescent="0.3">
      <c r="A134">
        <v>133</v>
      </c>
      <c r="B134" s="2">
        <v>74.272593959062689</v>
      </c>
      <c r="C134" s="2">
        <v>2.955823578082212</v>
      </c>
      <c r="D134" s="2">
        <v>5.3585808693149444</v>
      </c>
      <c r="E134" s="2">
        <v>0.59070266666666671</v>
      </c>
      <c r="F134" s="2">
        <v>0.1072425179856115</v>
      </c>
      <c r="G134" s="2">
        <v>0.20547941176470591</v>
      </c>
      <c r="H134" s="7">
        <v>0</v>
      </c>
    </row>
    <row r="135" spans="1:8" x14ac:dyDescent="0.3">
      <c r="A135">
        <v>134</v>
      </c>
      <c r="B135" s="2">
        <v>83.032239450550634</v>
      </c>
      <c r="C135" s="2">
        <v>2.62514152066408</v>
      </c>
      <c r="D135" s="2">
        <v>5.1102061862557884</v>
      </c>
      <c r="E135" s="2">
        <v>0.55169400000000002</v>
      </c>
      <c r="F135" s="2">
        <v>9.6636115107913673E-2</v>
      </c>
      <c r="G135" s="2">
        <v>0.20007205882352941</v>
      </c>
      <c r="H135" s="7">
        <v>0</v>
      </c>
    </row>
    <row r="136" spans="1:8" x14ac:dyDescent="0.3">
      <c r="A136">
        <v>135</v>
      </c>
      <c r="B136" s="2">
        <v>88.573273689318938</v>
      </c>
      <c r="C136" s="2">
        <v>2.5246954349636921</v>
      </c>
      <c r="D136" s="2">
        <v>5.0045440282692963</v>
      </c>
      <c r="E136" s="2">
        <v>0.53033211111111112</v>
      </c>
      <c r="F136" s="2">
        <v>7.3066330935251791E-2</v>
      </c>
      <c r="G136" s="2">
        <v>0.16762794117647059</v>
      </c>
      <c r="H136" s="7">
        <v>0</v>
      </c>
    </row>
    <row r="137" spans="1:8" x14ac:dyDescent="0.3">
      <c r="A137">
        <v>136</v>
      </c>
      <c r="B137" s="2">
        <v>91.949180522766994</v>
      </c>
      <c r="C137" s="2">
        <v>2.4964802423512218</v>
      </c>
      <c r="D137" s="2">
        <v>5.2007737502442097</v>
      </c>
      <c r="E137" s="2">
        <v>0.58698755555555548</v>
      </c>
      <c r="F137" s="2">
        <v>8.8386690647482016E-2</v>
      </c>
      <c r="G137" s="2">
        <v>0.20818308823529411</v>
      </c>
      <c r="H137" s="7">
        <v>0</v>
      </c>
    </row>
    <row r="138" spans="1:8" x14ac:dyDescent="0.3">
      <c r="A138">
        <v>137</v>
      </c>
      <c r="B138" s="2">
        <v>96.374605768806177</v>
      </c>
      <c r="C138" s="2">
        <v>2.4140918799228142</v>
      </c>
      <c r="D138" s="2">
        <v>5.1294174877078778</v>
      </c>
      <c r="E138" s="2">
        <v>0.60742066666666672</v>
      </c>
      <c r="F138" s="2">
        <v>0.13788323741007191</v>
      </c>
      <c r="G138" s="2">
        <v>0.21088676470588241</v>
      </c>
      <c r="H138" s="7">
        <v>0</v>
      </c>
    </row>
    <row r="139" spans="1:8" x14ac:dyDescent="0.3">
      <c r="A139">
        <v>138</v>
      </c>
      <c r="B139" s="2">
        <v>100.9480739143544</v>
      </c>
      <c r="C139" s="2">
        <v>2.3441182022438931</v>
      </c>
      <c r="D139" s="2">
        <v>4.9249543508249252</v>
      </c>
      <c r="E139" s="2">
        <v>0.57955733333333337</v>
      </c>
      <c r="F139" s="2">
        <v>0.20034316546762601</v>
      </c>
      <c r="G139" s="2">
        <v>0.2460345588235294</v>
      </c>
      <c r="H139" s="7">
        <v>0</v>
      </c>
    </row>
    <row r="140" spans="1:8" x14ac:dyDescent="0.3">
      <c r="A140">
        <v>139</v>
      </c>
      <c r="B140" s="2">
        <v>102.33994153206029</v>
      </c>
      <c r="C140" s="2">
        <v>2.3396037714258968</v>
      </c>
      <c r="D140" s="2">
        <v>4.8892762195567601</v>
      </c>
      <c r="E140" s="2">
        <v>0.56283933333333325</v>
      </c>
      <c r="F140" s="2">
        <v>0.26162460431654683</v>
      </c>
      <c r="G140" s="2">
        <v>0.21088676470588241</v>
      </c>
      <c r="H140" s="7">
        <v>0</v>
      </c>
    </row>
    <row r="141" spans="1:8" x14ac:dyDescent="0.3">
      <c r="A141">
        <v>140</v>
      </c>
      <c r="B141" s="2">
        <v>100.25544463450839</v>
      </c>
      <c r="C141" s="2">
        <v>2.529209865781687</v>
      </c>
      <c r="D141" s="2">
        <v>4.3554764863522752</v>
      </c>
      <c r="E141" s="2">
        <v>0.52847455555555545</v>
      </c>
      <c r="F141" s="2">
        <v>0.17323791366906471</v>
      </c>
      <c r="G141" s="2">
        <v>0.1081470588235294</v>
      </c>
      <c r="H141" s="7">
        <v>0</v>
      </c>
    </row>
    <row r="142" spans="1:8" x14ac:dyDescent="0.3">
      <c r="A142">
        <v>141</v>
      </c>
      <c r="B142" s="2">
        <v>102.32672341603271</v>
      </c>
      <c r="C142" s="2">
        <v>2.4174777030363099</v>
      </c>
      <c r="D142" s="2">
        <v>4.535239378511112</v>
      </c>
      <c r="E142" s="2">
        <v>0.57769977777777781</v>
      </c>
      <c r="F142" s="2">
        <v>0.20152165467625899</v>
      </c>
      <c r="G142" s="2">
        <v>0.16762794117647059</v>
      </c>
      <c r="H142" s="7">
        <v>0</v>
      </c>
    </row>
    <row r="143" spans="1:8" x14ac:dyDescent="0.3">
      <c r="A143">
        <v>142</v>
      </c>
      <c r="B143" s="2">
        <v>102.5976947945984</v>
      </c>
      <c r="C143" s="2">
        <v>2.4310209954902948</v>
      </c>
      <c r="D143" s="2">
        <v>4.6436460081336159</v>
      </c>
      <c r="E143" s="2">
        <v>0.55726666666666669</v>
      </c>
      <c r="F143" s="2">
        <v>0.24041179856115111</v>
      </c>
      <c r="G143" s="2">
        <v>0.1919610294117646</v>
      </c>
      <c r="H143" s="7">
        <v>0</v>
      </c>
    </row>
    <row r="144" spans="1:8" x14ac:dyDescent="0.3">
      <c r="A144">
        <v>143</v>
      </c>
      <c r="B144" s="2">
        <v>104.9214395922498</v>
      </c>
      <c r="C144" s="2">
        <v>2.3745906102653578</v>
      </c>
      <c r="D144" s="2">
        <v>4.7424469870300756</v>
      </c>
      <c r="E144" s="2">
        <v>0.54797888888888879</v>
      </c>
      <c r="F144" s="2">
        <v>0.2380548201438849</v>
      </c>
      <c r="G144" s="2">
        <v>0.21629411764705889</v>
      </c>
      <c r="H144" s="7">
        <v>0</v>
      </c>
    </row>
    <row r="145" spans="1:8" x14ac:dyDescent="0.3">
      <c r="A145">
        <v>144</v>
      </c>
      <c r="B145" s="2">
        <v>108.29205917928689</v>
      </c>
      <c r="C145" s="2">
        <v>2.3350893406079019</v>
      </c>
      <c r="D145" s="2">
        <v>4.8220366644744477</v>
      </c>
      <c r="E145" s="2">
        <v>0.5563378888888888</v>
      </c>
      <c r="F145" s="2">
        <v>0.1979861870503597</v>
      </c>
      <c r="G145" s="2">
        <v>0.24873823529411779</v>
      </c>
      <c r="H145" s="7">
        <v>0</v>
      </c>
    </row>
    <row r="146" spans="1:8" x14ac:dyDescent="0.3">
      <c r="A146">
        <v>145</v>
      </c>
      <c r="B146" s="2">
        <v>108.0528112791874</v>
      </c>
      <c r="C146" s="2">
        <v>2.2323860394985169</v>
      </c>
      <c r="D146" s="2">
        <v>4.831642315200491</v>
      </c>
      <c r="E146" s="2">
        <v>0.55819544444444447</v>
      </c>
      <c r="F146" s="2">
        <v>0.28165892086330929</v>
      </c>
      <c r="G146" s="2">
        <v>0.2244051470588235</v>
      </c>
      <c r="H146" s="7">
        <v>0</v>
      </c>
    </row>
    <row r="147" spans="1:8" x14ac:dyDescent="0.3">
      <c r="A147">
        <v>146</v>
      </c>
      <c r="B147" s="2">
        <v>109.968116291586</v>
      </c>
      <c r="C147" s="2">
        <v>2.2346432549075139</v>
      </c>
      <c r="D147" s="2">
        <v>4.6806963752197888</v>
      </c>
      <c r="E147" s="2">
        <v>0.54890766666666657</v>
      </c>
      <c r="F147" s="2">
        <v>0.33233395683453237</v>
      </c>
      <c r="G147" s="2">
        <v>0.27036764705882349</v>
      </c>
      <c r="H147" s="7">
        <v>0</v>
      </c>
    </row>
    <row r="148" spans="1:8" x14ac:dyDescent="0.3">
      <c r="A148">
        <v>147</v>
      </c>
      <c r="B148" s="2">
        <v>111.37716746012779</v>
      </c>
      <c r="C148" s="2">
        <v>2.2515723704749959</v>
      </c>
      <c r="D148" s="2">
        <v>4.5764064530513036</v>
      </c>
      <c r="E148" s="2">
        <v>0.53311844444444434</v>
      </c>
      <c r="F148" s="2">
        <v>0.32408453237410068</v>
      </c>
      <c r="G148" s="2">
        <v>0.31362647058823528</v>
      </c>
      <c r="H148" s="7">
        <v>0</v>
      </c>
    </row>
    <row r="149" spans="1:8" x14ac:dyDescent="0.3">
      <c r="A149">
        <v>148</v>
      </c>
      <c r="B149" s="2">
        <v>113.74188841746469</v>
      </c>
      <c r="C149" s="2">
        <v>2.244800724248003</v>
      </c>
      <c r="D149" s="2">
        <v>4.5407283217831367</v>
      </c>
      <c r="E149" s="2">
        <v>0.54147744444444434</v>
      </c>
      <c r="F149" s="2">
        <v>0.31347812949640291</v>
      </c>
      <c r="G149" s="2">
        <v>0.38392205882352942</v>
      </c>
      <c r="H149" s="7">
        <v>0</v>
      </c>
    </row>
    <row r="150" spans="1:8" x14ac:dyDescent="0.3">
      <c r="A150">
        <v>149</v>
      </c>
      <c r="B150" s="2">
        <v>114.9883567588671</v>
      </c>
      <c r="C150" s="2">
        <v>2.2290002163850211</v>
      </c>
      <c r="D150" s="2">
        <v>4.4707442950648106</v>
      </c>
      <c r="E150" s="2">
        <v>0.55448033333333324</v>
      </c>
      <c r="F150" s="2">
        <v>0.28990834532374099</v>
      </c>
      <c r="G150" s="2">
        <v>0.40555147058823532</v>
      </c>
      <c r="H150" s="7">
        <v>0</v>
      </c>
    </row>
    <row r="151" spans="1:8" x14ac:dyDescent="0.3">
      <c r="A151">
        <v>150</v>
      </c>
      <c r="B151" s="2">
        <v>115.6968477779462</v>
      </c>
      <c r="C151" s="2">
        <v>2.214328316226537</v>
      </c>
      <c r="D151" s="2">
        <v>4.443299578704683</v>
      </c>
      <c r="E151" s="2">
        <v>0.56376811111111114</v>
      </c>
      <c r="F151" s="2">
        <v>0.2027001438848921</v>
      </c>
      <c r="G151" s="2">
        <v>0.41095882352941182</v>
      </c>
      <c r="H151" s="7">
        <v>0</v>
      </c>
    </row>
    <row r="152" spans="1:8" x14ac:dyDescent="0.3">
      <c r="A152">
        <v>151</v>
      </c>
      <c r="B152" s="2">
        <v>112.4095023218831</v>
      </c>
      <c r="C152" s="2">
        <v>2.164669577228592</v>
      </c>
      <c r="D152" s="2">
        <v>4.4131103907085416</v>
      </c>
      <c r="E152" s="2">
        <v>0.56562566666666669</v>
      </c>
      <c r="F152" s="2">
        <v>0.26751705035971218</v>
      </c>
      <c r="G152" s="2">
        <v>0.42988455882352938</v>
      </c>
      <c r="H152" s="7">
        <v>0</v>
      </c>
    </row>
    <row r="153" spans="1:8" x14ac:dyDescent="0.3">
      <c r="A153">
        <v>152</v>
      </c>
      <c r="B153" s="2">
        <v>106.9398459096638</v>
      </c>
      <c r="C153" s="2">
        <v>2.0709951377551961</v>
      </c>
      <c r="D153" s="2">
        <v>4.3431263639902173</v>
      </c>
      <c r="E153" s="2">
        <v>0.56376811111111114</v>
      </c>
      <c r="F153" s="2">
        <v>0.27105251798561147</v>
      </c>
      <c r="G153" s="2">
        <v>0.45692132352941178</v>
      </c>
      <c r="H153" s="7">
        <v>0</v>
      </c>
    </row>
    <row r="154" spans="1:8" x14ac:dyDescent="0.3">
      <c r="A154">
        <v>153</v>
      </c>
      <c r="B154" s="2">
        <v>104.2063395151569</v>
      </c>
      <c r="C154" s="2">
        <v>2.012307537121262</v>
      </c>
      <c r="D154" s="2">
        <v>4.2209973761876487</v>
      </c>
      <c r="E154" s="2">
        <v>0.55540911111111102</v>
      </c>
      <c r="F154" s="2">
        <v>0.23216237410071941</v>
      </c>
      <c r="G154" s="2">
        <v>0.46232867647058828</v>
      </c>
      <c r="H154" s="7">
        <v>0</v>
      </c>
    </row>
    <row r="155" spans="1:8" x14ac:dyDescent="0.3">
      <c r="A155">
        <v>154</v>
      </c>
      <c r="B155" s="2">
        <v>102.6082692874205</v>
      </c>
      <c r="C155" s="2">
        <v>2.0619662761192061</v>
      </c>
      <c r="D155" s="2">
        <v>4.1523855852873286</v>
      </c>
      <c r="E155" s="2">
        <v>0.55076522222222213</v>
      </c>
      <c r="F155" s="2">
        <v>0.20152165467625899</v>
      </c>
      <c r="G155" s="2">
        <v>0.4812544117647059</v>
      </c>
      <c r="H155" s="7">
        <v>0</v>
      </c>
    </row>
    <row r="156" spans="1:8" x14ac:dyDescent="0.3">
      <c r="A156">
        <v>155</v>
      </c>
      <c r="B156" s="2">
        <v>101.78610247050401</v>
      </c>
      <c r="C156" s="2">
        <v>2.0472943759607229</v>
      </c>
      <c r="D156" s="2">
        <v>4.0014396453066272</v>
      </c>
      <c r="E156" s="2">
        <v>0.54426377777777779</v>
      </c>
      <c r="F156" s="2">
        <v>0.17913035971223021</v>
      </c>
      <c r="G156" s="2">
        <v>0.48395808823529413</v>
      </c>
      <c r="H156" s="7">
        <v>0</v>
      </c>
    </row>
    <row r="157" spans="1:8" x14ac:dyDescent="0.3">
      <c r="A157">
        <v>156</v>
      </c>
      <c r="B157" s="2">
        <v>103.1845791462237</v>
      </c>
      <c r="C157" s="2">
        <v>1.953619936487327</v>
      </c>
      <c r="D157" s="2">
        <v>3.879310657504059</v>
      </c>
      <c r="E157" s="2">
        <v>0.51268533333333344</v>
      </c>
      <c r="F157" s="2">
        <v>0.176773381294964</v>
      </c>
      <c r="G157" s="2">
        <v>0.4704397058823529</v>
      </c>
      <c r="H157" s="7">
        <v>0</v>
      </c>
    </row>
    <row r="158" spans="1:8" x14ac:dyDescent="0.3">
      <c r="A158">
        <v>157</v>
      </c>
      <c r="B158" s="2">
        <v>107.3337457672861</v>
      </c>
      <c r="C158" s="2">
        <v>1.9987642446672771</v>
      </c>
      <c r="D158" s="2">
        <v>3.9904617587625748</v>
      </c>
      <c r="E158" s="2">
        <v>0.52290188888888878</v>
      </c>
      <c r="F158" s="2">
        <v>0.16027453237410069</v>
      </c>
      <c r="G158" s="2">
        <v>0.49206911764705891</v>
      </c>
      <c r="H158" s="7">
        <v>0</v>
      </c>
    </row>
    <row r="159" spans="1:8" x14ac:dyDescent="0.3">
      <c r="A159">
        <v>158</v>
      </c>
      <c r="B159" s="2">
        <v>106.54991148684969</v>
      </c>
      <c r="C159" s="2">
        <v>2.0371369066202338</v>
      </c>
      <c r="D159" s="2">
        <v>3.8491214695079181</v>
      </c>
      <c r="E159" s="2">
        <v>0.49225222222222242</v>
      </c>
      <c r="F159" s="2">
        <v>0.16734546762589919</v>
      </c>
      <c r="G159" s="2">
        <v>0.5082911764705883</v>
      </c>
      <c r="H159" s="7">
        <v>0</v>
      </c>
    </row>
    <row r="160" spans="1:8" x14ac:dyDescent="0.3">
      <c r="A160">
        <v>159</v>
      </c>
      <c r="B160" s="2">
        <v>103.09866139204431</v>
      </c>
      <c r="C160" s="2">
        <v>2.0168219679392569</v>
      </c>
      <c r="D160" s="2">
        <v>3.7365981324313942</v>
      </c>
      <c r="E160" s="2">
        <v>0.47832055555555558</v>
      </c>
      <c r="F160" s="2">
        <v>0.19091525179856109</v>
      </c>
      <c r="G160" s="2">
        <v>0.5082911764705883</v>
      </c>
      <c r="H160" s="7">
        <v>0</v>
      </c>
    </row>
    <row r="161" spans="1:8" x14ac:dyDescent="0.3">
      <c r="A161">
        <v>160</v>
      </c>
      <c r="B161" s="2">
        <v>101.5693253676514</v>
      </c>
      <c r="C161" s="2">
        <v>2.007793106303267</v>
      </c>
      <c r="D161" s="2">
        <v>3.655636219169017</v>
      </c>
      <c r="E161" s="2">
        <v>0.46996155555555558</v>
      </c>
      <c r="F161" s="2">
        <v>0.25455366906474819</v>
      </c>
      <c r="G161" s="2">
        <v>0.51369852941176475</v>
      </c>
      <c r="H161" s="7">
        <v>0</v>
      </c>
    </row>
    <row r="162" spans="1:8" x14ac:dyDescent="0.3">
      <c r="A162">
        <v>161</v>
      </c>
      <c r="B162" s="2">
        <v>101.3935244244844</v>
      </c>
      <c r="C162" s="2">
        <v>1.99537842155378</v>
      </c>
      <c r="D162" s="2">
        <v>3.581535484996671</v>
      </c>
      <c r="E162" s="2">
        <v>0.46996155555555558</v>
      </c>
      <c r="F162" s="2">
        <v>0.31701359712230209</v>
      </c>
      <c r="G162" s="2">
        <v>0.51369852941176475</v>
      </c>
      <c r="H162" s="7">
        <v>0</v>
      </c>
    </row>
    <row r="163" spans="1:8" x14ac:dyDescent="0.3">
      <c r="A163">
        <v>162</v>
      </c>
      <c r="B163" s="2">
        <v>101.5257055847604</v>
      </c>
      <c r="C163" s="2">
        <v>1.9987642446672771</v>
      </c>
      <c r="D163" s="2">
        <v>3.5636964193625889</v>
      </c>
      <c r="E163" s="2">
        <v>0.46903277777777769</v>
      </c>
      <c r="F163" s="2">
        <v>0.27930194244604312</v>
      </c>
      <c r="G163" s="2">
        <v>0.49747647058823541</v>
      </c>
      <c r="H163" s="7">
        <v>0</v>
      </c>
    </row>
    <row r="164" spans="1:8" x14ac:dyDescent="0.3">
      <c r="A164">
        <v>163</v>
      </c>
      <c r="B164" s="2">
        <v>103.0695815367836</v>
      </c>
      <c r="C164" s="2">
        <v>1.958134367305322</v>
      </c>
      <c r="D164" s="2">
        <v>3.5705575984526212</v>
      </c>
      <c r="E164" s="2">
        <v>0.46717522222222219</v>
      </c>
      <c r="F164" s="2">
        <v>0.20977107913669071</v>
      </c>
      <c r="G164" s="2">
        <v>0.50288382352941186</v>
      </c>
      <c r="H164" s="7">
        <v>0</v>
      </c>
    </row>
    <row r="165" spans="1:8" x14ac:dyDescent="0.3">
      <c r="A165">
        <v>164</v>
      </c>
      <c r="B165" s="2">
        <v>106.1903787308991</v>
      </c>
      <c r="C165" s="2">
        <v>1.896060943557891</v>
      </c>
      <c r="D165" s="2">
        <v>3.6309359744449021</v>
      </c>
      <c r="E165" s="2">
        <v>0.47181911111111108</v>
      </c>
      <c r="F165" s="2">
        <v>0.20741410071942451</v>
      </c>
      <c r="G165" s="2">
        <v>0.49747647058823541</v>
      </c>
      <c r="H165" s="7">
        <v>0</v>
      </c>
    </row>
    <row r="166" spans="1:8" x14ac:dyDescent="0.3">
      <c r="A166">
        <v>165</v>
      </c>
      <c r="B166" s="2">
        <v>106.0700938750479</v>
      </c>
      <c r="C166" s="2">
        <v>1.811415365720485</v>
      </c>
      <c r="D166" s="2">
        <v>3.5568352402725569</v>
      </c>
      <c r="E166" s="2">
        <v>0.45510111111111101</v>
      </c>
      <c r="F166" s="2">
        <v>0.20741410071942451</v>
      </c>
      <c r="G166" s="2">
        <v>0.4704397058823529</v>
      </c>
      <c r="H166" s="7">
        <v>0</v>
      </c>
    </row>
    <row r="167" spans="1:8" x14ac:dyDescent="0.3">
      <c r="A167">
        <v>166</v>
      </c>
      <c r="B167" s="2">
        <v>104.56058502469649</v>
      </c>
      <c r="C167" s="2">
        <v>1.776428526881024</v>
      </c>
      <c r="D167" s="2">
        <v>3.449800846468059</v>
      </c>
      <c r="E167" s="2">
        <v>0.43745433333333328</v>
      </c>
      <c r="F167" s="2">
        <v>0.20387863309352519</v>
      </c>
      <c r="G167" s="2">
        <v>0.448810294117647</v>
      </c>
      <c r="H167" s="7">
        <v>0</v>
      </c>
    </row>
    <row r="168" spans="1:8" x14ac:dyDescent="0.3">
      <c r="A168">
        <v>167</v>
      </c>
      <c r="B168" s="2">
        <v>104.4098985019819</v>
      </c>
      <c r="C168" s="2">
        <v>1.84301638144645</v>
      </c>
      <c r="D168" s="2">
        <v>3.4415674315600211</v>
      </c>
      <c r="E168" s="2">
        <v>0.43559677777777778</v>
      </c>
      <c r="F168" s="2">
        <v>0.23451935251798561</v>
      </c>
      <c r="G168" s="2">
        <v>0.46503235294117651</v>
      </c>
      <c r="H168" s="7">
        <v>0</v>
      </c>
    </row>
    <row r="169" spans="1:8" x14ac:dyDescent="0.3">
      <c r="A169">
        <v>168</v>
      </c>
      <c r="B169" s="2">
        <v>102.3531596480879</v>
      </c>
      <c r="C169" s="2">
        <v>1.7990006809709991</v>
      </c>
      <c r="D169" s="2">
        <v>3.401772592837836</v>
      </c>
      <c r="E169" s="2">
        <v>0.42816655555555549</v>
      </c>
      <c r="F169" s="2">
        <v>0.24394726618705029</v>
      </c>
      <c r="G169" s="2">
        <v>0.47855073529411762</v>
      </c>
      <c r="H169" s="7">
        <v>0</v>
      </c>
    </row>
    <row r="170" spans="1:8" x14ac:dyDescent="0.3">
      <c r="A170">
        <v>169</v>
      </c>
      <c r="B170" s="2">
        <v>99.936888038243325</v>
      </c>
      <c r="C170" s="2">
        <v>1.783200173108016</v>
      </c>
      <c r="D170" s="2">
        <v>3.4333340166519828</v>
      </c>
      <c r="E170" s="2">
        <v>0.44581333333333328</v>
      </c>
      <c r="F170" s="2">
        <v>0.25808913669064742</v>
      </c>
      <c r="G170" s="2">
        <v>0.53803161764705887</v>
      </c>
      <c r="H170" s="7">
        <v>0</v>
      </c>
    </row>
    <row r="171" spans="1:8" x14ac:dyDescent="0.3">
      <c r="A171">
        <v>170</v>
      </c>
      <c r="B171" s="2">
        <v>98.726108610115531</v>
      </c>
      <c r="C171" s="2">
        <v>1.7380558649280671</v>
      </c>
      <c r="D171" s="2">
        <v>3.449800846468059</v>
      </c>
      <c r="E171" s="2">
        <v>0.44859966666666662</v>
      </c>
      <c r="F171" s="2">
        <v>0.226269928057554</v>
      </c>
      <c r="G171" s="2">
        <v>0.60562352941176478</v>
      </c>
      <c r="H171" s="7">
        <v>0</v>
      </c>
    </row>
    <row r="172" spans="1:8" x14ac:dyDescent="0.3">
      <c r="A172">
        <v>171</v>
      </c>
      <c r="B172" s="2">
        <v>98.496113391235369</v>
      </c>
      <c r="C172" s="2">
        <v>1.697425987566112</v>
      </c>
      <c r="D172" s="2">
        <v>3.4992013359162879</v>
      </c>
      <c r="E172" s="2">
        <v>0.44674211111111112</v>
      </c>
      <c r="F172" s="2">
        <v>0.19445071942446049</v>
      </c>
      <c r="G172" s="2">
        <v>0.65969705882352936</v>
      </c>
      <c r="H172" s="7">
        <v>0</v>
      </c>
    </row>
    <row r="173" spans="1:8" x14ac:dyDescent="0.3">
      <c r="A173">
        <v>172</v>
      </c>
      <c r="B173" s="2">
        <v>98.250256433122061</v>
      </c>
      <c r="C173" s="2">
        <v>1.69855459527061</v>
      </c>
      <c r="D173" s="2">
        <v>3.5005735717342952</v>
      </c>
      <c r="E173" s="2">
        <v>0.44581333333333328</v>
      </c>
      <c r="F173" s="2">
        <v>0.17323791366906471</v>
      </c>
      <c r="G173" s="2">
        <v>0.68943750000000004</v>
      </c>
      <c r="H173" s="7">
        <v>0</v>
      </c>
    </row>
    <row r="174" spans="1:8" x14ac:dyDescent="0.3">
      <c r="A174">
        <v>173</v>
      </c>
      <c r="B174" s="2">
        <v>97.498145631151843</v>
      </c>
      <c r="C174" s="2">
        <v>1.6556675024996581</v>
      </c>
      <c r="D174" s="2">
        <v>3.4594064971941032</v>
      </c>
      <c r="E174" s="2">
        <v>0.4495284444444444</v>
      </c>
      <c r="F174" s="2">
        <v>0.14848964028776979</v>
      </c>
      <c r="G174" s="2">
        <v>0.72999264705882372</v>
      </c>
      <c r="H174" s="7">
        <v>0</v>
      </c>
    </row>
    <row r="175" spans="1:8" x14ac:dyDescent="0.3">
      <c r="A175">
        <v>174</v>
      </c>
      <c r="B175" s="2">
        <v>95.904040838223764</v>
      </c>
      <c r="C175" s="2">
        <v>1.665824971840147</v>
      </c>
      <c r="D175" s="2">
        <v>3.420983894289924</v>
      </c>
      <c r="E175" s="2">
        <v>0.45881622222222218</v>
      </c>
      <c r="F175" s="2">
        <v>0.17323791366906471</v>
      </c>
      <c r="G175" s="2">
        <v>0.77595514705882362</v>
      </c>
      <c r="H175" s="7">
        <v>0</v>
      </c>
    </row>
    <row r="176" spans="1:8" x14ac:dyDescent="0.3">
      <c r="A176">
        <v>175</v>
      </c>
      <c r="B176" s="2">
        <v>94.994634455525144</v>
      </c>
      <c r="C176" s="2">
        <v>1.6455100331591701</v>
      </c>
      <c r="D176" s="2">
        <v>3.389422470475778</v>
      </c>
      <c r="E176" s="2">
        <v>0.44674211111111112</v>
      </c>
      <c r="F176" s="2">
        <v>0.19445071942446049</v>
      </c>
      <c r="G176" s="2">
        <v>0.82191764705882364</v>
      </c>
      <c r="H176" s="7">
        <v>0</v>
      </c>
    </row>
    <row r="177" spans="1:8" x14ac:dyDescent="0.3">
      <c r="A177">
        <v>176</v>
      </c>
      <c r="B177" s="2">
        <v>92.495088714706725</v>
      </c>
      <c r="C177" s="2">
        <v>1.5315206550047959</v>
      </c>
      <c r="D177" s="2">
        <v>3.289249255761312</v>
      </c>
      <c r="E177" s="2">
        <v>0.34179022222222222</v>
      </c>
      <c r="F177" s="2">
        <v>0.20741410071942451</v>
      </c>
      <c r="G177" s="2">
        <v>0.84354705882352954</v>
      </c>
      <c r="H177" s="7">
        <v>0</v>
      </c>
    </row>
    <row r="178" spans="1:8" x14ac:dyDescent="0.3">
      <c r="A178">
        <v>177</v>
      </c>
      <c r="B178" s="2">
        <v>93.02381335581056</v>
      </c>
      <c r="C178" s="2">
        <v>1.557478632208267</v>
      </c>
      <c r="D178" s="2">
        <v>3.2645490110371962</v>
      </c>
      <c r="E178" s="2">
        <v>0.39287300000000003</v>
      </c>
      <c r="F178" s="2">
        <v>0.19209374100719431</v>
      </c>
      <c r="G178" s="2">
        <v>0.82732500000000009</v>
      </c>
      <c r="H178" s="7">
        <v>0</v>
      </c>
    </row>
    <row r="179" spans="1:8" x14ac:dyDescent="0.3">
      <c r="A179">
        <v>178</v>
      </c>
      <c r="B179" s="2">
        <v>94.857166048838138</v>
      </c>
      <c r="C179" s="2">
        <v>1.505562677801326</v>
      </c>
      <c r="D179" s="2">
        <v>3.1437922590526339</v>
      </c>
      <c r="E179" s="2">
        <v>0.37151111111111113</v>
      </c>
      <c r="F179" s="2">
        <v>0.20387863309352519</v>
      </c>
      <c r="G179" s="2">
        <v>0.83543602941176476</v>
      </c>
      <c r="H179" s="7">
        <v>0</v>
      </c>
    </row>
    <row r="180" spans="1:8" x14ac:dyDescent="0.3">
      <c r="A180">
        <v>179</v>
      </c>
      <c r="B180" s="2">
        <v>107.7395419293333</v>
      </c>
      <c r="C180" s="2">
        <v>1.6534102870906611</v>
      </c>
      <c r="D180" s="2">
        <v>3.09576400542241</v>
      </c>
      <c r="E180" s="2">
        <v>0.32785855555555549</v>
      </c>
      <c r="F180" s="2">
        <v>0.22980539568345329</v>
      </c>
      <c r="G180" s="2">
        <v>0.75973308823529417</v>
      </c>
      <c r="H180" s="7">
        <v>0</v>
      </c>
    </row>
    <row r="181" spans="1:8" x14ac:dyDescent="0.3">
      <c r="A181">
        <v>180</v>
      </c>
      <c r="B181" s="2">
        <v>112.1068074648511</v>
      </c>
      <c r="C181" s="2">
        <v>1.814801188833981</v>
      </c>
      <c r="D181" s="2">
        <v>3.2576878319471652</v>
      </c>
      <c r="E181" s="2">
        <v>0.34179022222222222</v>
      </c>
      <c r="F181" s="2">
        <v>0.2686955395683453</v>
      </c>
      <c r="G181" s="2">
        <v>0.77325147058823529</v>
      </c>
      <c r="H181" s="7">
        <v>0</v>
      </c>
    </row>
    <row r="182" spans="1:8" x14ac:dyDescent="0.3">
      <c r="A182">
        <v>181</v>
      </c>
      <c r="B182" s="2">
        <v>104.65839908330069</v>
      </c>
      <c r="C182" s="2">
        <v>2.0156933602347582</v>
      </c>
      <c r="D182" s="2">
        <v>3.2714101901272281</v>
      </c>
      <c r="E182" s="2">
        <v>0.34922044444444439</v>
      </c>
      <c r="F182" s="2">
        <v>0.28283741007194241</v>
      </c>
      <c r="G182" s="2">
        <v>0.74891838235294139</v>
      </c>
      <c r="H182" s="7">
        <v>0</v>
      </c>
    </row>
    <row r="183" spans="1:8" x14ac:dyDescent="0.3">
      <c r="A183">
        <v>182</v>
      </c>
      <c r="B183" s="2">
        <v>96.013751201252816</v>
      </c>
      <c r="C183" s="2">
        <v>1.8847748665129029</v>
      </c>
      <c r="D183" s="2">
        <v>3.21789299322498</v>
      </c>
      <c r="E183" s="2">
        <v>0.35572188888888889</v>
      </c>
      <c r="F183" s="2">
        <v>0.29226532374100722</v>
      </c>
      <c r="G183" s="2">
        <v>0.7408073529411765</v>
      </c>
      <c r="H183" s="7">
        <v>0</v>
      </c>
    </row>
    <row r="184" spans="1:8" x14ac:dyDescent="0.3">
      <c r="A184">
        <v>183</v>
      </c>
      <c r="B184" s="2">
        <v>88.894473908789521</v>
      </c>
      <c r="C184" s="2">
        <v>1.732412826405572</v>
      </c>
      <c r="D184" s="2">
        <v>3.201426163408903</v>
      </c>
      <c r="E184" s="2">
        <v>0.35665066666666662</v>
      </c>
      <c r="F184" s="2">
        <v>0.30287172661870498</v>
      </c>
      <c r="G184" s="2">
        <v>0.72728897058823538</v>
      </c>
      <c r="H184" s="7">
        <v>0</v>
      </c>
    </row>
    <row r="185" spans="1:8" x14ac:dyDescent="0.3">
      <c r="A185">
        <v>184</v>
      </c>
      <c r="B185" s="2">
        <v>85.579370409068417</v>
      </c>
      <c r="C185" s="2">
        <v>1.692911556748117</v>
      </c>
      <c r="D185" s="2">
        <v>3.130069900872571</v>
      </c>
      <c r="E185" s="2">
        <v>0.3640808888888889</v>
      </c>
      <c r="F185" s="2">
        <v>0.31465661870503597</v>
      </c>
      <c r="G185" s="2">
        <v>0.76514044117647062</v>
      </c>
      <c r="H185" s="7">
        <v>0</v>
      </c>
    </row>
    <row r="186" spans="1:8" x14ac:dyDescent="0.3">
      <c r="A186">
        <v>185</v>
      </c>
      <c r="B186" s="2">
        <v>84.41749801024271</v>
      </c>
      <c r="C186" s="2">
        <v>1.694040164452616</v>
      </c>
      <c r="D186" s="2">
        <v>3.0765527039703211</v>
      </c>
      <c r="E186" s="2">
        <v>0.37058233333333329</v>
      </c>
      <c r="F186" s="2">
        <v>0.33233395683453237</v>
      </c>
      <c r="G186" s="2">
        <v>0.78676985294117641</v>
      </c>
      <c r="H186" s="7">
        <v>0</v>
      </c>
    </row>
    <row r="187" spans="1:8" x14ac:dyDescent="0.3">
      <c r="A187">
        <v>186</v>
      </c>
      <c r="B187" s="2">
        <v>83.605905686148304</v>
      </c>
      <c r="C187" s="2">
        <v>1.662439148726651</v>
      </c>
      <c r="D187" s="2">
        <v>3.0271522145220922</v>
      </c>
      <c r="E187" s="2">
        <v>0.38358522222222219</v>
      </c>
      <c r="F187" s="2">
        <v>0.36061769784172659</v>
      </c>
      <c r="G187" s="2">
        <v>0.81651029411764708</v>
      </c>
      <c r="H187" s="7">
        <v>0</v>
      </c>
    </row>
    <row r="188" spans="1:8" x14ac:dyDescent="0.3">
      <c r="A188">
        <v>187</v>
      </c>
      <c r="B188" s="2">
        <v>83.283383655074971</v>
      </c>
      <c r="C188" s="2">
        <v>1.6748538334761369</v>
      </c>
      <c r="D188" s="2">
        <v>2.999707498161964</v>
      </c>
      <c r="E188" s="2">
        <v>0.39194422222222208</v>
      </c>
      <c r="F188" s="2">
        <v>0.39243690647482021</v>
      </c>
      <c r="G188" s="2">
        <v>0.84895441176470587</v>
      </c>
      <c r="H188" s="7">
        <v>0</v>
      </c>
    </row>
    <row r="189" spans="1:8" x14ac:dyDescent="0.3">
      <c r="A189">
        <v>188</v>
      </c>
      <c r="B189" s="2">
        <v>83.451253728625431</v>
      </c>
      <c r="C189" s="2">
        <v>1.6872685182256231</v>
      </c>
      <c r="D189" s="2">
        <v>2.999707498161964</v>
      </c>
      <c r="E189" s="2">
        <v>0.39658811111111109</v>
      </c>
      <c r="F189" s="2">
        <v>0.3830089928057554</v>
      </c>
      <c r="G189" s="2">
        <v>0.88680588235294133</v>
      </c>
      <c r="H189" s="7">
        <v>0</v>
      </c>
    </row>
    <row r="190" spans="1:8" x14ac:dyDescent="0.3">
      <c r="A190">
        <v>189</v>
      </c>
      <c r="B190" s="2">
        <v>82.173061908756893</v>
      </c>
      <c r="C190" s="2">
        <v>1.6590533256131541</v>
      </c>
      <c r="D190" s="2">
        <v>2.983240668345887</v>
      </c>
      <c r="E190" s="2">
        <v>0.38915788888888891</v>
      </c>
      <c r="F190" s="2">
        <v>0.39479388489208628</v>
      </c>
      <c r="G190" s="2">
        <v>0.9165463235294119</v>
      </c>
      <c r="H190" s="7">
        <v>0</v>
      </c>
    </row>
    <row r="191" spans="1:8" x14ac:dyDescent="0.3">
      <c r="A191">
        <v>190</v>
      </c>
      <c r="B191" s="2">
        <v>80.352927331756902</v>
      </c>
      <c r="C191" s="2">
        <v>1.6240664867736929</v>
      </c>
      <c r="D191" s="2">
        <v>2.9859851399819011</v>
      </c>
      <c r="E191" s="2">
        <v>0.37801255555555552</v>
      </c>
      <c r="F191" s="2">
        <v>0.42307762589928061</v>
      </c>
      <c r="G191" s="2">
        <v>0.93817573529411769</v>
      </c>
      <c r="H191" s="7">
        <v>0</v>
      </c>
    </row>
    <row r="192" spans="1:8" x14ac:dyDescent="0.3">
      <c r="A192">
        <v>191</v>
      </c>
      <c r="B192" s="2">
        <v>78.177225433614581</v>
      </c>
      <c r="C192" s="2">
        <v>1.578922178593744</v>
      </c>
      <c r="D192" s="2">
        <v>2.977751725073861</v>
      </c>
      <c r="E192" s="2">
        <v>0.36686722222222218</v>
      </c>
      <c r="F192" s="2">
        <v>0.42543460431654678</v>
      </c>
      <c r="G192" s="2">
        <v>0.95439779411764702</v>
      </c>
      <c r="H192" s="7">
        <v>0</v>
      </c>
    </row>
    <row r="193" spans="1:8" x14ac:dyDescent="0.3">
      <c r="A193">
        <v>192</v>
      </c>
      <c r="B193" s="2">
        <v>78.950485221228959</v>
      </c>
      <c r="C193" s="2">
        <v>1.577793570889245</v>
      </c>
      <c r="D193" s="2">
        <v>2.964029366893798</v>
      </c>
      <c r="E193" s="2">
        <v>0.35014922222222222</v>
      </c>
      <c r="F193" s="2">
        <v>0.42897007194244602</v>
      </c>
      <c r="G193" s="2">
        <v>0.96521250000000003</v>
      </c>
      <c r="H193" s="7">
        <v>0</v>
      </c>
    </row>
    <row r="194" spans="1:8" x14ac:dyDescent="0.3">
      <c r="A194">
        <v>193</v>
      </c>
      <c r="B194" s="2">
        <v>77.79654369201981</v>
      </c>
      <c r="C194" s="2">
        <v>1.5947226864567261</v>
      </c>
      <c r="D194" s="2">
        <v>2.965401602711804</v>
      </c>
      <c r="E194" s="2">
        <v>0.35850822222222217</v>
      </c>
      <c r="F194" s="2">
        <v>0.47493115107913669</v>
      </c>
      <c r="G194" s="2">
        <v>0.9733235294117647</v>
      </c>
      <c r="H194" s="7">
        <v>0</v>
      </c>
    </row>
    <row r="195" spans="1:8" x14ac:dyDescent="0.3">
      <c r="A195">
        <v>194</v>
      </c>
      <c r="B195" s="2">
        <v>76.101981217281988</v>
      </c>
      <c r="C195" s="2">
        <v>1.5608644553217641</v>
      </c>
      <c r="D195" s="2">
        <v>2.9407013579876891</v>
      </c>
      <c r="E195" s="2">
        <v>0.35200677777777772</v>
      </c>
      <c r="F195" s="2">
        <v>0.46550323741007188</v>
      </c>
      <c r="G195" s="2">
        <v>0.97873088235294126</v>
      </c>
      <c r="H195" s="7">
        <v>0</v>
      </c>
    </row>
    <row r="196" spans="1:8" x14ac:dyDescent="0.3">
      <c r="A196">
        <v>195</v>
      </c>
      <c r="B196" s="2">
        <v>73.812603521302336</v>
      </c>
      <c r="C196" s="2">
        <v>1.3859302611244579</v>
      </c>
      <c r="D196" s="2">
        <v>2.8322947283651851</v>
      </c>
      <c r="E196" s="2">
        <v>0.32507222222222232</v>
      </c>
      <c r="F196" s="2">
        <v>0.4631462589928057</v>
      </c>
      <c r="G196" s="2">
        <v>0.94628676470588247</v>
      </c>
      <c r="H196" s="7">
        <v>0</v>
      </c>
    </row>
    <row r="197" spans="1:8" x14ac:dyDescent="0.3">
      <c r="A197">
        <v>196</v>
      </c>
      <c r="B197" s="2">
        <v>71.461100679992995</v>
      </c>
      <c r="C197" s="2">
        <v>1.357715068511989</v>
      </c>
      <c r="D197" s="2">
        <v>2.9077676983555349</v>
      </c>
      <c r="E197" s="2">
        <v>0.35943700000000001</v>
      </c>
      <c r="F197" s="2">
        <v>0.42425611510791372</v>
      </c>
      <c r="G197" s="2">
        <v>0.9408794117647058</v>
      </c>
      <c r="H197" s="7">
        <v>0</v>
      </c>
    </row>
    <row r="198" spans="1:8" x14ac:dyDescent="0.3">
      <c r="A198">
        <v>197</v>
      </c>
      <c r="B198" s="2">
        <v>68.690583560608843</v>
      </c>
      <c r="C198" s="2">
        <v>1.3870588688289569</v>
      </c>
      <c r="D198" s="2">
        <v>2.9077676983555349</v>
      </c>
      <c r="E198" s="2">
        <v>0.35757944444444451</v>
      </c>
      <c r="F198" s="2">
        <v>0.63638417266187053</v>
      </c>
      <c r="G198" s="2">
        <v>0.93547205882352946</v>
      </c>
      <c r="H198" s="7">
        <v>0</v>
      </c>
    </row>
    <row r="199" spans="1:8" x14ac:dyDescent="0.3">
      <c r="A199">
        <v>198</v>
      </c>
      <c r="B199" s="2">
        <v>66.900850650472321</v>
      </c>
      <c r="C199" s="2">
        <v>1.401730768987441</v>
      </c>
      <c r="D199" s="2">
        <v>2.8597394447253128</v>
      </c>
      <c r="E199" s="2">
        <v>0.35386433333333328</v>
      </c>
      <c r="F199" s="2">
        <v>0.51028582733812955</v>
      </c>
      <c r="G199" s="2">
        <v>0.93006470588235302</v>
      </c>
      <c r="H199" s="7">
        <v>0</v>
      </c>
    </row>
    <row r="200" spans="1:8" x14ac:dyDescent="0.3">
      <c r="A200">
        <v>199</v>
      </c>
      <c r="B200" s="2">
        <v>67.214120000326346</v>
      </c>
      <c r="C200" s="2">
        <v>1.46493280043937</v>
      </c>
      <c r="D200" s="2">
        <v>2.8556227372712928</v>
      </c>
      <c r="E200" s="2">
        <v>0.35757944444444451</v>
      </c>
      <c r="F200" s="2">
        <v>0.4183636690647482</v>
      </c>
      <c r="G200" s="2">
        <v>0.96250882352941181</v>
      </c>
      <c r="H200" s="7">
        <v>0</v>
      </c>
    </row>
    <row r="201" spans="1:8" x14ac:dyDescent="0.3">
      <c r="A201">
        <v>200</v>
      </c>
      <c r="B201" s="2">
        <v>66.538674271316168</v>
      </c>
      <c r="C201" s="2">
        <v>1.431074569304408</v>
      </c>
      <c r="D201" s="2">
        <v>2.866600623815343</v>
      </c>
      <c r="E201" s="2">
        <v>0.35200677777777772</v>
      </c>
      <c r="F201" s="2">
        <v>0.4101142446043165</v>
      </c>
      <c r="G201" s="2">
        <v>0.9733235294117647</v>
      </c>
      <c r="H201" s="7">
        <v>0</v>
      </c>
    </row>
    <row r="202" spans="1:8" x14ac:dyDescent="0.3">
      <c r="A202">
        <v>201</v>
      </c>
      <c r="B202" s="2">
        <v>70.62968118185718</v>
      </c>
      <c r="C202" s="2">
        <v>1.530392047300297</v>
      </c>
      <c r="D202" s="2">
        <v>2.8130834269130949</v>
      </c>
      <c r="E202" s="2">
        <v>0.35479311111111123</v>
      </c>
      <c r="F202" s="2">
        <v>0.43014856115107908</v>
      </c>
      <c r="G202" s="2">
        <v>1.0463227941176469</v>
      </c>
      <c r="H202" s="7">
        <v>0</v>
      </c>
    </row>
    <row r="203" spans="1:8" x14ac:dyDescent="0.3">
      <c r="A203">
        <v>202</v>
      </c>
      <c r="B203" s="2">
        <v>72.363898004677807</v>
      </c>
      <c r="C203" s="2">
        <v>1.57327914007125</v>
      </c>
      <c r="D203" s="2">
        <v>2.8460170865452481</v>
      </c>
      <c r="E203" s="2">
        <v>0.3640808888888889</v>
      </c>
      <c r="F203" s="2">
        <v>0.45136136690647488</v>
      </c>
      <c r="G203" s="2">
        <v>1.0328044117647059</v>
      </c>
      <c r="H203" s="7">
        <v>0</v>
      </c>
    </row>
    <row r="204" spans="1:8" x14ac:dyDescent="0.3">
      <c r="A204">
        <v>203</v>
      </c>
      <c r="B204" s="2">
        <v>72.814635761218838</v>
      </c>
      <c r="C204" s="2">
        <v>1.5292634395957989</v>
      </c>
      <c r="D204" s="2">
        <v>2.8844396894494282</v>
      </c>
      <c r="E204" s="2">
        <v>0.36129455555555562</v>
      </c>
      <c r="F204" s="2">
        <v>0.46786021582733811</v>
      </c>
      <c r="G204" s="2">
        <v>1.0219897058823531</v>
      </c>
      <c r="H204" s="7">
        <v>0</v>
      </c>
    </row>
    <row r="205" spans="1:8" x14ac:dyDescent="0.3">
      <c r="A205">
        <v>204</v>
      </c>
      <c r="B205" s="2">
        <v>73.438530837721359</v>
      </c>
      <c r="C205" s="2">
        <v>1.5292634395957989</v>
      </c>
      <c r="D205" s="2">
        <v>2.9146288774455669</v>
      </c>
      <c r="E205" s="2">
        <v>0.36686722222222218</v>
      </c>
      <c r="F205" s="2">
        <v>0.47846661870503598</v>
      </c>
      <c r="G205" s="2">
        <v>1.0273970588235291</v>
      </c>
      <c r="H205" s="7">
        <v>0</v>
      </c>
    </row>
    <row r="206" spans="1:8" x14ac:dyDescent="0.3">
      <c r="A206">
        <v>205</v>
      </c>
      <c r="B206" s="2">
        <v>75.102691645595726</v>
      </c>
      <c r="C206" s="2">
        <v>1.3893160842379539</v>
      </c>
      <c r="D206" s="2">
        <v>2.955795951985758</v>
      </c>
      <c r="E206" s="2">
        <v>0.39194422222222208</v>
      </c>
      <c r="F206" s="2">
        <v>0.45961079136690652</v>
      </c>
      <c r="G206" s="2">
        <v>1.000360294117647</v>
      </c>
      <c r="H206" s="7">
        <v>0</v>
      </c>
    </row>
    <row r="207" spans="1:8" x14ac:dyDescent="0.3">
      <c r="A207">
        <v>206</v>
      </c>
      <c r="B207" s="2">
        <v>71.831207928765679</v>
      </c>
      <c r="C207" s="2">
        <v>1.4051165921009381</v>
      </c>
      <c r="D207" s="2">
        <v>3.1163475426925071</v>
      </c>
      <c r="E207" s="2">
        <v>0.3770837777777778</v>
      </c>
      <c r="F207" s="2">
        <v>0.44075496402877701</v>
      </c>
      <c r="G207" s="2">
        <v>1.0409154411764709</v>
      </c>
      <c r="H207" s="7">
        <v>0</v>
      </c>
    </row>
    <row r="208" spans="1:8" x14ac:dyDescent="0.3">
      <c r="A208">
        <v>207</v>
      </c>
      <c r="B208" s="2">
        <v>67.971518048707622</v>
      </c>
      <c r="C208" s="2">
        <v>1.617294840546702</v>
      </c>
      <c r="D208" s="2">
        <v>3.1630035605047242</v>
      </c>
      <c r="E208" s="2">
        <v>0.41423488888888882</v>
      </c>
      <c r="F208" s="2">
        <v>0.4183636690647482</v>
      </c>
      <c r="G208" s="2">
        <v>0.894916911764706</v>
      </c>
      <c r="H208" s="7">
        <v>0</v>
      </c>
    </row>
    <row r="209" spans="1:8" x14ac:dyDescent="0.3">
      <c r="A209">
        <v>208</v>
      </c>
      <c r="B209" s="2">
        <v>66.577006807796224</v>
      </c>
      <c r="C209" s="2">
        <v>1.5360350858227909</v>
      </c>
      <c r="D209" s="2">
        <v>3.0916472979683909</v>
      </c>
      <c r="E209" s="2">
        <v>0.39565933333333331</v>
      </c>
      <c r="F209" s="2">
        <v>0.41364971223021568</v>
      </c>
      <c r="G209" s="2">
        <v>0.90843529411764712</v>
      </c>
      <c r="H209" s="7">
        <v>0</v>
      </c>
    </row>
    <row r="210" spans="1:8" x14ac:dyDescent="0.3">
      <c r="A210">
        <v>209</v>
      </c>
      <c r="B210" s="2">
        <v>66.707866156469407</v>
      </c>
      <c r="C210" s="2">
        <v>1.4638041927348719</v>
      </c>
      <c r="D210" s="2">
        <v>3.00107973397997</v>
      </c>
      <c r="E210" s="2">
        <v>0.37243988888888901</v>
      </c>
      <c r="F210" s="2">
        <v>0.43839798561151078</v>
      </c>
      <c r="G210" s="2">
        <v>0.92195367647058835</v>
      </c>
      <c r="H210" s="7">
        <v>0</v>
      </c>
    </row>
    <row r="211" spans="1:8" x14ac:dyDescent="0.3">
      <c r="A211">
        <v>210</v>
      </c>
      <c r="B211" s="2">
        <v>69.198159216068532</v>
      </c>
      <c r="C211" s="2">
        <v>1.4829905237113501</v>
      </c>
      <c r="D211" s="2">
        <v>2.955795951985758</v>
      </c>
      <c r="E211" s="2">
        <v>0.3640808888888889</v>
      </c>
      <c r="F211" s="2">
        <v>0.44075496402877701</v>
      </c>
      <c r="G211" s="2">
        <v>0.9733235294117647</v>
      </c>
      <c r="H211" s="7">
        <v>0</v>
      </c>
    </row>
    <row r="212" spans="1:8" x14ac:dyDescent="0.3">
      <c r="A212">
        <v>211</v>
      </c>
      <c r="B212" s="2">
        <v>69.754641900830322</v>
      </c>
      <c r="C212" s="2">
        <v>1.4863763468248461</v>
      </c>
      <c r="D212" s="2">
        <v>2.9310957072616439</v>
      </c>
      <c r="E212" s="2">
        <v>0.35572188888888889</v>
      </c>
      <c r="F212" s="2">
        <v>0.4277915827338129</v>
      </c>
      <c r="G212" s="2">
        <v>1.0030639705882349</v>
      </c>
      <c r="H212" s="7">
        <v>0</v>
      </c>
    </row>
    <row r="213" spans="1:8" x14ac:dyDescent="0.3">
      <c r="A213">
        <v>212</v>
      </c>
      <c r="B213" s="2">
        <v>69.659471465431636</v>
      </c>
      <c r="C213" s="2">
        <v>1.4807333083023531</v>
      </c>
      <c r="D213" s="2">
        <v>2.924234528171612</v>
      </c>
      <c r="E213" s="2">
        <v>0.35572188888888889</v>
      </c>
      <c r="F213" s="2">
        <v>0.41600669064748202</v>
      </c>
      <c r="G213" s="2">
        <v>1.016582352941177</v>
      </c>
      <c r="H213" s="7">
        <v>0</v>
      </c>
    </row>
    <row r="214" spans="1:8" x14ac:dyDescent="0.3">
      <c r="A214">
        <v>213</v>
      </c>
      <c r="B214" s="2">
        <v>69.766538205255159</v>
      </c>
      <c r="C214" s="2">
        <v>1.496533816165335</v>
      </c>
      <c r="D214" s="2">
        <v>2.9132566416275618</v>
      </c>
      <c r="E214" s="2">
        <v>0.35943700000000001</v>
      </c>
      <c r="F214" s="2">
        <v>0.43368402877697843</v>
      </c>
      <c r="G214" s="2">
        <v>1.0490264705882351</v>
      </c>
      <c r="H214" s="7">
        <v>0</v>
      </c>
    </row>
    <row r="215" spans="1:8" x14ac:dyDescent="0.3">
      <c r="A215">
        <v>214</v>
      </c>
      <c r="B215" s="2">
        <v>70.041475018629157</v>
      </c>
      <c r="C215" s="2">
        <v>1.496533816165335</v>
      </c>
      <c r="D215" s="2">
        <v>2.9077676983555349</v>
      </c>
      <c r="E215" s="2">
        <v>0.36036577777777778</v>
      </c>
      <c r="F215" s="2">
        <v>0.38890143884892092</v>
      </c>
      <c r="G215" s="2">
        <v>1.0787669117647061</v>
      </c>
      <c r="H215" s="7">
        <v>0</v>
      </c>
    </row>
    <row r="216" spans="1:8" x14ac:dyDescent="0.3">
      <c r="A216">
        <v>215</v>
      </c>
      <c r="B216" s="2">
        <v>70.287331976742436</v>
      </c>
      <c r="C216" s="2">
        <v>1.4976624238698339</v>
      </c>
      <c r="D216" s="2">
        <v>2.9132566416275618</v>
      </c>
      <c r="E216" s="2">
        <v>0.3622233333333334</v>
      </c>
      <c r="F216" s="2">
        <v>0.40186482014388492</v>
      </c>
      <c r="G216" s="2">
        <v>1.0922852941176471</v>
      </c>
      <c r="H216" s="7">
        <v>0</v>
      </c>
    </row>
    <row r="217" spans="1:8" x14ac:dyDescent="0.3">
      <c r="A217">
        <v>216</v>
      </c>
      <c r="B217" s="2">
        <v>70.27147023750932</v>
      </c>
      <c r="C217" s="2">
        <v>1.36674393014798</v>
      </c>
      <c r="D217" s="2">
        <v>2.8734618029053749</v>
      </c>
      <c r="E217" s="2">
        <v>0.35200677777777772</v>
      </c>
      <c r="F217" s="2">
        <v>0.39007992805755398</v>
      </c>
      <c r="G217" s="2">
        <v>1.1031</v>
      </c>
      <c r="H217" s="7">
        <v>0</v>
      </c>
    </row>
    <row r="218" spans="1:8" x14ac:dyDescent="0.3">
      <c r="A218">
        <v>217</v>
      </c>
      <c r="B218" s="2">
        <v>70.857032777531842</v>
      </c>
      <c r="C218" s="2">
        <v>1.338528737535511</v>
      </c>
      <c r="D218" s="2">
        <v>2.858367208907306</v>
      </c>
      <c r="E218" s="2">
        <v>0.34643411111111111</v>
      </c>
      <c r="F218" s="2">
        <v>0.3735810791366907</v>
      </c>
      <c r="G218" s="2">
        <v>1.116618382352941</v>
      </c>
      <c r="H218" s="7">
        <v>0</v>
      </c>
    </row>
    <row r="219" spans="1:8" x14ac:dyDescent="0.3">
      <c r="A219">
        <v>218</v>
      </c>
      <c r="B219" s="2">
        <v>74.56339251166979</v>
      </c>
      <c r="C219" s="2">
        <v>1.338528737535511</v>
      </c>
      <c r="D219" s="2">
        <v>2.7417271643767629</v>
      </c>
      <c r="E219" s="2">
        <v>0.34829166666666672</v>
      </c>
      <c r="F219" s="2">
        <v>0.33469093525179849</v>
      </c>
      <c r="G219" s="2">
        <v>1.0922852941176471</v>
      </c>
      <c r="H219" s="7">
        <v>0</v>
      </c>
    </row>
    <row r="220" spans="1:8" x14ac:dyDescent="0.3">
      <c r="A220">
        <v>219</v>
      </c>
      <c r="B220" s="2">
        <v>66.81361108469018</v>
      </c>
      <c r="C220" s="2">
        <v>1.2448542980621149</v>
      </c>
      <c r="D220" s="2">
        <v>2.7499605792848012</v>
      </c>
      <c r="E220" s="2">
        <v>0.35665066666666662</v>
      </c>
      <c r="F220" s="2">
        <v>0.2686955395683453</v>
      </c>
      <c r="G220" s="2">
        <v>1.062544852941177</v>
      </c>
      <c r="H220" s="7">
        <v>0</v>
      </c>
    </row>
    <row r="221" spans="1:8" x14ac:dyDescent="0.3">
      <c r="A221">
        <v>220</v>
      </c>
      <c r="B221" s="2">
        <v>70.456523861895676</v>
      </c>
      <c r="C221" s="2">
        <v>1.2787125291970769</v>
      </c>
      <c r="D221" s="2">
        <v>2.740354928558757</v>
      </c>
      <c r="E221" s="2">
        <v>0.36965355555555562</v>
      </c>
      <c r="F221" s="2">
        <v>0.2946223021582734</v>
      </c>
      <c r="G221" s="2">
        <v>1.0192860294117649</v>
      </c>
      <c r="H221" s="7">
        <v>0</v>
      </c>
    </row>
    <row r="222" spans="1:8" x14ac:dyDescent="0.3">
      <c r="A222">
        <v>221</v>
      </c>
      <c r="B222" s="2">
        <v>72.202636989141126</v>
      </c>
      <c r="C222" s="2">
        <v>1.212124674631651</v>
      </c>
      <c r="D222" s="2">
        <v>2.7266325703786922</v>
      </c>
      <c r="E222" s="2">
        <v>0.35479311111111123</v>
      </c>
      <c r="F222" s="2">
        <v>0.35472525179856113</v>
      </c>
      <c r="G222" s="2">
        <v>1.013878676470588</v>
      </c>
      <c r="H222" s="7">
        <v>0</v>
      </c>
    </row>
    <row r="223" spans="1:8" x14ac:dyDescent="0.3">
      <c r="A223">
        <v>222</v>
      </c>
      <c r="B223" s="2">
        <v>77.085409049735134</v>
      </c>
      <c r="C223" s="2">
        <v>1.056376811410825</v>
      </c>
      <c r="D223" s="2">
        <v>2.734865985286731</v>
      </c>
      <c r="E223" s="2">
        <v>0.35200677777777772</v>
      </c>
      <c r="F223" s="2">
        <v>0.38183050359712228</v>
      </c>
      <c r="G223" s="2">
        <v>0.94628676470588247</v>
      </c>
      <c r="H223" s="7">
        <v>0</v>
      </c>
    </row>
    <row r="224" spans="1:8" x14ac:dyDescent="0.3">
      <c r="A224">
        <v>223</v>
      </c>
      <c r="B224" s="2">
        <v>75.725264910495497</v>
      </c>
      <c r="C224" s="2">
        <v>1.110549981226765</v>
      </c>
      <c r="D224" s="2">
        <v>2.8034777761870511</v>
      </c>
      <c r="E224" s="2">
        <v>0.36779600000000001</v>
      </c>
      <c r="F224" s="2">
        <v>0.37711654676258988</v>
      </c>
      <c r="G224" s="2">
        <v>0.9733235294117647</v>
      </c>
      <c r="H224" s="7">
        <v>0</v>
      </c>
    </row>
    <row r="225" spans="1:8" x14ac:dyDescent="0.3">
      <c r="A225">
        <v>224</v>
      </c>
      <c r="B225" s="2">
        <v>73.019516559646576</v>
      </c>
      <c r="C225" s="2">
        <v>1.1534370739977171</v>
      </c>
      <c r="D225" s="2">
        <v>2.829550256729171</v>
      </c>
      <c r="E225" s="2">
        <v>0.37243988888888901</v>
      </c>
      <c r="F225" s="2">
        <v>0.32408453237410068</v>
      </c>
      <c r="G225" s="2">
        <v>0.98684191176470593</v>
      </c>
      <c r="H225" s="7">
        <v>0</v>
      </c>
    </row>
    <row r="226" spans="1:8" x14ac:dyDescent="0.3">
      <c r="A226">
        <v>225</v>
      </c>
      <c r="B226" s="2">
        <v>65.667600425097604</v>
      </c>
      <c r="C226" s="2">
        <v>1.2177677131541449</v>
      </c>
      <c r="D226" s="2">
        <v>2.9214900565356001</v>
      </c>
      <c r="E226" s="2">
        <v>0.37894133333333319</v>
      </c>
      <c r="F226" s="2">
        <v>0.30287172661870498</v>
      </c>
      <c r="G226" s="2">
        <v>0.96521250000000003</v>
      </c>
      <c r="H226" s="7">
        <v>0</v>
      </c>
    </row>
    <row r="227" spans="1:8" x14ac:dyDescent="0.3">
      <c r="A227">
        <v>226</v>
      </c>
      <c r="B227" s="2">
        <v>66.949757679774422</v>
      </c>
      <c r="C227" s="2">
        <v>1.248240121175612</v>
      </c>
      <c r="D227" s="2">
        <v>2.8679728596333511</v>
      </c>
      <c r="E227" s="2">
        <v>0.36965355555555562</v>
      </c>
      <c r="F227" s="2">
        <v>0.26044611510791371</v>
      </c>
      <c r="G227" s="2">
        <v>0.96791617647058825</v>
      </c>
      <c r="H227" s="7">
        <v>0</v>
      </c>
    </row>
    <row r="228" spans="1:8" x14ac:dyDescent="0.3">
      <c r="A228">
        <v>227</v>
      </c>
      <c r="B228" s="2">
        <v>67.766637250279857</v>
      </c>
      <c r="C228" s="2">
        <v>1.240339867244121</v>
      </c>
      <c r="D228" s="2">
        <v>2.8432726149092362</v>
      </c>
      <c r="E228" s="2">
        <v>0.3622233333333334</v>
      </c>
      <c r="F228" s="2">
        <v>0.2592676258992806</v>
      </c>
      <c r="G228" s="2">
        <v>0.98143455882352948</v>
      </c>
      <c r="H228" s="7">
        <v>0</v>
      </c>
    </row>
    <row r="229" spans="1:8" x14ac:dyDescent="0.3">
      <c r="A229">
        <v>228</v>
      </c>
      <c r="B229" s="2">
        <v>69.599989943307449</v>
      </c>
      <c r="C229" s="2">
        <v>1.257268982811601</v>
      </c>
      <c r="D229" s="2">
        <v>2.8185723701851209</v>
      </c>
      <c r="E229" s="2">
        <v>0.35757944444444451</v>
      </c>
      <c r="F229" s="2">
        <v>0.27458798561151082</v>
      </c>
      <c r="G229" s="2">
        <v>1.000360294117647</v>
      </c>
      <c r="H229" s="7">
        <v>0</v>
      </c>
    </row>
    <row r="230" spans="1:8" x14ac:dyDescent="0.3">
      <c r="A230">
        <v>229</v>
      </c>
      <c r="B230" s="2">
        <v>70.07319849709539</v>
      </c>
      <c r="C230" s="2">
        <v>1.286612783128569</v>
      </c>
      <c r="D230" s="2">
        <v>2.8185723701851209</v>
      </c>
      <c r="E230" s="2">
        <v>0.36036577777777778</v>
      </c>
      <c r="F230" s="2">
        <v>0.28165892086330929</v>
      </c>
      <c r="G230" s="2">
        <v>1.013878676470588</v>
      </c>
      <c r="H230" s="7">
        <v>0</v>
      </c>
    </row>
    <row r="231" spans="1:8" x14ac:dyDescent="0.3">
      <c r="A231">
        <v>230</v>
      </c>
      <c r="B231" s="2">
        <v>70.640255674679267</v>
      </c>
      <c r="C231" s="2">
        <v>1.256140375107103</v>
      </c>
      <c r="D231" s="2">
        <v>2.810338955277083</v>
      </c>
      <c r="E231" s="2">
        <v>0.36036577777777778</v>
      </c>
      <c r="F231" s="2">
        <v>0.26280309352517989</v>
      </c>
      <c r="G231" s="2">
        <v>1.0192860294117649</v>
      </c>
      <c r="H231" s="7">
        <v>0</v>
      </c>
    </row>
    <row r="232" spans="1:8" x14ac:dyDescent="0.3">
      <c r="A232">
        <v>231</v>
      </c>
      <c r="B232" s="2">
        <v>70.578130529349565</v>
      </c>
      <c r="C232" s="2">
        <v>1.245982905766615</v>
      </c>
      <c r="D232" s="2">
        <v>2.810338955277083</v>
      </c>
      <c r="E232" s="2">
        <v>0.36593844444444451</v>
      </c>
      <c r="F232" s="2">
        <v>0.27340949640287782</v>
      </c>
      <c r="G232" s="2">
        <v>0.96791617647058825</v>
      </c>
      <c r="H232" s="7">
        <v>0</v>
      </c>
    </row>
    <row r="233" spans="1:8" x14ac:dyDescent="0.3">
      <c r="A233">
        <v>232</v>
      </c>
      <c r="B233" s="2">
        <v>64.80049201368729</v>
      </c>
      <c r="C233" s="2">
        <v>1.1523084662932179</v>
      </c>
      <c r="D233" s="2">
        <v>2.8679728596333511</v>
      </c>
      <c r="E233" s="2">
        <v>0.35293555555555561</v>
      </c>
      <c r="F233" s="2">
        <v>0.28519438848920847</v>
      </c>
      <c r="G233" s="2">
        <v>0.93547205882352946</v>
      </c>
      <c r="H233" s="7">
        <v>0</v>
      </c>
    </row>
    <row r="234" spans="1:8" x14ac:dyDescent="0.3">
      <c r="A234">
        <v>233</v>
      </c>
      <c r="B234" s="2">
        <v>62.328704316526817</v>
      </c>
      <c r="C234" s="2">
        <v>1.1760092280876919</v>
      </c>
      <c r="D234" s="2">
        <v>2.969518310165824</v>
      </c>
      <c r="E234" s="2">
        <v>0.36315211111111112</v>
      </c>
      <c r="F234" s="2">
        <v>0.22037748201438839</v>
      </c>
      <c r="G234" s="2">
        <v>0.93817573529411769</v>
      </c>
      <c r="H234" s="7">
        <v>0</v>
      </c>
    </row>
    <row r="235" spans="1:8" x14ac:dyDescent="0.3">
      <c r="A235">
        <v>234</v>
      </c>
      <c r="B235" s="2">
        <v>61.398148948184051</v>
      </c>
      <c r="C235" s="2">
        <v>1.229053790199133</v>
      </c>
      <c r="D235" s="2">
        <v>2.9914740832539262</v>
      </c>
      <c r="E235" s="2">
        <v>0.35665066666666662</v>
      </c>
      <c r="F235" s="2">
        <v>0.24866122302158269</v>
      </c>
      <c r="G235" s="2">
        <v>0.92195367647058835</v>
      </c>
      <c r="H235" s="7">
        <v>0</v>
      </c>
    </row>
    <row r="236" spans="1:8" x14ac:dyDescent="0.3">
      <c r="A236">
        <v>235</v>
      </c>
      <c r="B236" s="2">
        <v>61.020110829794802</v>
      </c>
      <c r="C236" s="2">
        <v>1.2414684749486189</v>
      </c>
      <c r="D236" s="2">
        <v>2.905023226719524</v>
      </c>
      <c r="E236" s="2">
        <v>0.34457655555555561</v>
      </c>
      <c r="F236" s="2">
        <v>0.27105251798561147</v>
      </c>
      <c r="G236" s="2">
        <v>0.90843529411764712</v>
      </c>
      <c r="H236" s="7">
        <v>0</v>
      </c>
    </row>
    <row r="237" spans="1:8" x14ac:dyDescent="0.3">
      <c r="A237">
        <v>236</v>
      </c>
      <c r="B237" s="2">
        <v>61.366425469717818</v>
      </c>
      <c r="C237" s="2">
        <v>1.220024928563143</v>
      </c>
      <c r="D237" s="2">
        <v>2.8624839163613238</v>
      </c>
      <c r="E237" s="2">
        <v>0.342719</v>
      </c>
      <c r="F237" s="2">
        <v>0.29697928057553957</v>
      </c>
      <c r="G237" s="2">
        <v>0.90573161764705901</v>
      </c>
      <c r="H237" s="7">
        <v>0</v>
      </c>
    </row>
    <row r="238" spans="1:8" x14ac:dyDescent="0.3">
      <c r="A238">
        <v>237</v>
      </c>
      <c r="B238" s="2">
        <v>62.745074971396079</v>
      </c>
      <c r="C238" s="2">
        <v>1.190681128246176</v>
      </c>
      <c r="D238" s="2">
        <v>2.8240613134571459</v>
      </c>
      <c r="E238" s="2">
        <v>0.33714633333333333</v>
      </c>
      <c r="F238" s="2">
        <v>0.30051474820143892</v>
      </c>
      <c r="G238" s="2">
        <v>0.91384264705882357</v>
      </c>
      <c r="H238" s="7">
        <v>0</v>
      </c>
    </row>
    <row r="239" spans="1:8" x14ac:dyDescent="0.3">
      <c r="A239">
        <v>238</v>
      </c>
      <c r="B239" s="2">
        <v>64.081426501786055</v>
      </c>
      <c r="C239" s="2">
        <v>1.165851758747203</v>
      </c>
      <c r="D239" s="2">
        <v>2.7828942389169549</v>
      </c>
      <c r="E239" s="2">
        <v>0.33250244444444438</v>
      </c>
      <c r="F239" s="2">
        <v>0.29815776978417269</v>
      </c>
      <c r="G239" s="2">
        <v>0.93547205882352946</v>
      </c>
      <c r="H239" s="7">
        <v>0</v>
      </c>
    </row>
    <row r="240" spans="1:8" x14ac:dyDescent="0.3">
      <c r="A240">
        <v>239</v>
      </c>
      <c r="B240" s="2">
        <v>64.323318025091069</v>
      </c>
      <c r="C240" s="2">
        <v>1.1534370739977171</v>
      </c>
      <c r="D240" s="2">
        <v>2.7485883434667948</v>
      </c>
      <c r="E240" s="2">
        <v>0.32692977777777782</v>
      </c>
      <c r="F240" s="2">
        <v>0.2993362589928058</v>
      </c>
      <c r="G240" s="2">
        <v>0.94899044117647069</v>
      </c>
      <c r="H240" s="7">
        <v>0</v>
      </c>
    </row>
    <row r="241" spans="1:8" x14ac:dyDescent="0.3">
      <c r="A241">
        <v>240</v>
      </c>
      <c r="B241" s="2">
        <v>64.115793603457817</v>
      </c>
      <c r="C241" s="2">
        <v>1.13312213531674</v>
      </c>
      <c r="D241" s="2">
        <v>2.7197713912886599</v>
      </c>
      <c r="E241" s="2">
        <v>0.31578444444444442</v>
      </c>
      <c r="F241" s="2">
        <v>0.2946223021582734</v>
      </c>
      <c r="G241" s="2">
        <v>0.95980514705882347</v>
      </c>
      <c r="H241" s="7">
        <v>0</v>
      </c>
    </row>
    <row r="242" spans="1:8" x14ac:dyDescent="0.3">
      <c r="A242">
        <v>241</v>
      </c>
      <c r="B242" s="2">
        <v>62.327382504924053</v>
      </c>
      <c r="C242" s="2">
        <v>1.104906942704271</v>
      </c>
      <c r="D242" s="2">
        <v>2.7197713912886599</v>
      </c>
      <c r="E242" s="2">
        <v>0.31857077777777781</v>
      </c>
      <c r="F242" s="2">
        <v>0.28755136690647481</v>
      </c>
      <c r="G242" s="2">
        <v>0.93276838235294124</v>
      </c>
      <c r="H242" s="7">
        <v>0</v>
      </c>
    </row>
    <row r="243" spans="1:8" x14ac:dyDescent="0.3">
      <c r="A243">
        <v>242</v>
      </c>
      <c r="B243" s="2">
        <v>61.162866482892831</v>
      </c>
      <c r="C243" s="2">
        <v>1.082334788614296</v>
      </c>
      <c r="D243" s="2">
        <v>2.717026919652648</v>
      </c>
      <c r="E243" s="2">
        <v>0.3167132222222222</v>
      </c>
      <c r="F243" s="2">
        <v>0.34294035971223019</v>
      </c>
      <c r="G243" s="2">
        <v>0.94358308823529402</v>
      </c>
      <c r="H243" s="7">
        <v>0</v>
      </c>
    </row>
    <row r="244" spans="1:8" x14ac:dyDescent="0.3">
      <c r="A244">
        <v>243</v>
      </c>
      <c r="B244" s="2">
        <v>71.932987422178186</v>
      </c>
      <c r="C244" s="2">
        <v>1.048476557479334</v>
      </c>
      <c r="D244" s="2">
        <v>2.663509722750399</v>
      </c>
      <c r="E244" s="2">
        <v>0.30742544444444447</v>
      </c>
      <c r="F244" s="2">
        <v>0.32054906474820138</v>
      </c>
      <c r="G244" s="2">
        <v>0.91925000000000012</v>
      </c>
      <c r="H244" s="7">
        <v>0</v>
      </c>
    </row>
    <row r="245" spans="1:8" x14ac:dyDescent="0.3">
      <c r="A245">
        <v>244</v>
      </c>
      <c r="B245" s="2">
        <v>76.958515135870215</v>
      </c>
      <c r="C245" s="2">
        <v>1.2155104977451481</v>
      </c>
      <c r="D245" s="2">
        <v>2.8034777761870511</v>
      </c>
      <c r="E245" s="2">
        <v>0.3018527777777778</v>
      </c>
      <c r="F245" s="2">
        <v>0.26398158273381311</v>
      </c>
      <c r="G245" s="2">
        <v>1.0273970588235291</v>
      </c>
      <c r="H245" s="7">
        <v>0</v>
      </c>
    </row>
    <row r="246" spans="1:8" x14ac:dyDescent="0.3">
      <c r="A246">
        <v>245</v>
      </c>
      <c r="B246" s="2">
        <v>69.687229509089576</v>
      </c>
      <c r="C246" s="2">
        <v>0.9999464261858878</v>
      </c>
      <c r="D246" s="2">
        <v>2.8473893223632549</v>
      </c>
      <c r="E246" s="2">
        <v>0.28513477777777768</v>
      </c>
      <c r="F246" s="2">
        <v>0.24276877697841731</v>
      </c>
      <c r="G246" s="2">
        <v>0.90032426470588256</v>
      </c>
      <c r="H246" s="7">
        <v>0</v>
      </c>
    </row>
    <row r="247" spans="1:8" x14ac:dyDescent="0.3">
      <c r="A247">
        <v>246</v>
      </c>
      <c r="B247" s="2">
        <v>66.962975795802009</v>
      </c>
      <c r="C247" s="2">
        <v>1.138765173839233</v>
      </c>
      <c r="D247" s="2">
        <v>2.905023226719524</v>
      </c>
      <c r="E247" s="2">
        <v>0.28699233333333329</v>
      </c>
      <c r="F247" s="2">
        <v>0.27223100719424459</v>
      </c>
      <c r="G247" s="2">
        <v>0.84895441176470587</v>
      </c>
      <c r="H247" s="7">
        <v>0</v>
      </c>
    </row>
    <row r="248" spans="1:8" x14ac:dyDescent="0.3">
      <c r="A248">
        <v>247</v>
      </c>
      <c r="B248" s="2">
        <v>64.475326359408427</v>
      </c>
      <c r="C248" s="2">
        <v>1.1218360582717519</v>
      </c>
      <c r="D248" s="2">
        <v>2.9201178207175942</v>
      </c>
      <c r="E248" s="2">
        <v>0.3148556666666667</v>
      </c>
      <c r="F248" s="2">
        <v>0.2592676258992806</v>
      </c>
      <c r="G248" s="2">
        <v>0.85976911764705888</v>
      </c>
      <c r="H248" s="7">
        <v>0</v>
      </c>
    </row>
    <row r="249" spans="1:8" x14ac:dyDescent="0.3">
      <c r="A249">
        <v>248</v>
      </c>
      <c r="B249" s="2">
        <v>62.873290696863769</v>
      </c>
      <c r="C249" s="2">
        <v>1.13312213531674</v>
      </c>
      <c r="D249" s="2">
        <v>2.8967898118114852</v>
      </c>
      <c r="E249" s="2">
        <v>0.33435999999999999</v>
      </c>
      <c r="F249" s="2">
        <v>0.25808913669064742</v>
      </c>
      <c r="G249" s="2">
        <v>0.8516580882352941</v>
      </c>
      <c r="H249" s="7">
        <v>0</v>
      </c>
    </row>
    <row r="250" spans="1:8" x14ac:dyDescent="0.3">
      <c r="A250">
        <v>249</v>
      </c>
      <c r="B250" s="2">
        <v>62.213706707086729</v>
      </c>
      <c r="C250" s="2">
        <v>1.166980366451702</v>
      </c>
      <c r="D250" s="2">
        <v>2.8391559074552171</v>
      </c>
      <c r="E250" s="2">
        <v>0.3297161111111111</v>
      </c>
      <c r="F250" s="2">
        <v>0.2027001438848921</v>
      </c>
      <c r="G250" s="2">
        <v>0.87328750000000011</v>
      </c>
      <c r="H250" s="7">
        <v>0</v>
      </c>
    </row>
    <row r="251" spans="1:8" x14ac:dyDescent="0.3">
      <c r="A251">
        <v>250</v>
      </c>
      <c r="B251" s="2">
        <v>59.189401759972739</v>
      </c>
      <c r="C251" s="2">
        <v>0.98414591832290521</v>
      </c>
      <c r="D251" s="2">
        <v>2.7156546838346411</v>
      </c>
      <c r="E251" s="2">
        <v>0.26377288888888878</v>
      </c>
      <c r="F251" s="2">
        <v>0.24394726618705029</v>
      </c>
      <c r="G251" s="2">
        <v>0.81380661764705886</v>
      </c>
      <c r="H251" s="7">
        <v>0</v>
      </c>
    </row>
    <row r="252" spans="1:8" x14ac:dyDescent="0.3">
      <c r="A252">
        <v>251</v>
      </c>
      <c r="B252" s="2">
        <v>59.493418428607448</v>
      </c>
      <c r="C252" s="2">
        <v>1.128607704498745</v>
      </c>
      <c r="D252" s="2">
        <v>2.7664274091008791</v>
      </c>
      <c r="E252" s="2">
        <v>0.23962466666666671</v>
      </c>
      <c r="F252" s="2">
        <v>0.4006863309352518</v>
      </c>
      <c r="G252" s="2">
        <v>0.74621470588235317</v>
      </c>
      <c r="H252" s="7">
        <v>0</v>
      </c>
    </row>
    <row r="253" spans="1:8" x14ac:dyDescent="0.3">
      <c r="A253">
        <v>252</v>
      </c>
      <c r="B253" s="2">
        <v>61.781474312984336</v>
      </c>
      <c r="C253" s="2">
        <v>1.077820357796301</v>
      </c>
      <c r="D253" s="2">
        <v>2.918745584899586</v>
      </c>
      <c r="E253" s="2">
        <v>0.22012033333333331</v>
      </c>
      <c r="F253" s="2">
        <v>0.23451935251798561</v>
      </c>
      <c r="G253" s="2">
        <v>0.46503235294117651</v>
      </c>
      <c r="H253" s="7">
        <v>0</v>
      </c>
    </row>
    <row r="254" spans="1:8" x14ac:dyDescent="0.3">
      <c r="A254">
        <v>253</v>
      </c>
      <c r="B254" s="2">
        <v>89.252684853137382</v>
      </c>
      <c r="C254" s="2">
        <v>1.5868224325252349</v>
      </c>
      <c r="D254" s="2">
        <v>3.6172136162648392</v>
      </c>
      <c r="E254" s="2">
        <v>0.21826277777777781</v>
      </c>
      <c r="F254" s="2">
        <v>0.2239129496402878</v>
      </c>
      <c r="G254" s="2">
        <v>0.28388602941176477</v>
      </c>
      <c r="H254" s="7">
        <v>0</v>
      </c>
    </row>
    <row r="255" spans="1:8" x14ac:dyDescent="0.3">
      <c r="A255">
        <v>254</v>
      </c>
      <c r="B255" s="2">
        <v>78.543367247578999</v>
      </c>
      <c r="C255" s="2">
        <v>1.505562677801326</v>
      </c>
      <c r="D255" s="2">
        <v>4.7630305243001718</v>
      </c>
      <c r="E255" s="2">
        <v>0.30928299999999997</v>
      </c>
      <c r="F255" s="2">
        <v>0.22862690647482009</v>
      </c>
      <c r="G255" s="2">
        <v>1.6222058823529409E-2</v>
      </c>
      <c r="H255" s="7">
        <v>0</v>
      </c>
    </row>
    <row r="256" spans="1:8" x14ac:dyDescent="0.3">
      <c r="A256">
        <v>255</v>
      </c>
      <c r="B256" s="2">
        <v>76.802541366744578</v>
      </c>
      <c r="C256" s="2">
        <v>1.7922290347440071</v>
      </c>
      <c r="D256" s="2">
        <v>4.3005870536320199</v>
      </c>
      <c r="E256" s="2">
        <v>0.25169877777777783</v>
      </c>
      <c r="F256" s="2">
        <v>0.1979861870503597</v>
      </c>
      <c r="G256" s="2">
        <v>0.11896176470588241</v>
      </c>
      <c r="H256" s="7">
        <v>0</v>
      </c>
    </row>
    <row r="257" spans="1:8" x14ac:dyDescent="0.3">
      <c r="A257">
        <v>256</v>
      </c>
      <c r="B257" s="2">
        <v>79.452773630277605</v>
      </c>
      <c r="C257" s="2">
        <v>1.4773474851888559</v>
      </c>
      <c r="D257" s="2">
        <v>3.5142959299143599</v>
      </c>
      <c r="E257" s="2">
        <v>0.22847933333333331</v>
      </c>
      <c r="F257" s="2">
        <v>0.22037748201438839</v>
      </c>
      <c r="G257" s="2">
        <v>0.48936544117647068</v>
      </c>
      <c r="H257" s="7">
        <v>0</v>
      </c>
    </row>
    <row r="258" spans="1:8" x14ac:dyDescent="0.3">
      <c r="A258">
        <v>257</v>
      </c>
      <c r="B258" s="2">
        <v>77.23873919565527</v>
      </c>
      <c r="C258" s="2">
        <v>1.292255821651062</v>
      </c>
      <c r="D258" s="2">
        <v>3.2151485215889668</v>
      </c>
      <c r="E258" s="2">
        <v>0.22662177777777781</v>
      </c>
      <c r="F258" s="2">
        <v>0.23334086330935261</v>
      </c>
      <c r="G258" s="2">
        <v>0.70295588235294126</v>
      </c>
      <c r="H258" s="7">
        <v>0</v>
      </c>
    </row>
    <row r="259" spans="1:8" x14ac:dyDescent="0.3">
      <c r="A259">
        <v>258</v>
      </c>
      <c r="B259" s="2">
        <v>75.871985998401811</v>
      </c>
      <c r="C259" s="2">
        <v>1.292255821651062</v>
      </c>
      <c r="D259" s="2">
        <v>3.1341866083265901</v>
      </c>
      <c r="E259" s="2">
        <v>0.25262755555555561</v>
      </c>
      <c r="F259" s="2">
        <v>0.21802050359712219</v>
      </c>
      <c r="G259" s="2">
        <v>0.73810367647058839</v>
      </c>
      <c r="H259" s="7">
        <v>0</v>
      </c>
    </row>
    <row r="260" spans="1:8" x14ac:dyDescent="0.3">
      <c r="A260">
        <v>259</v>
      </c>
      <c r="B260" s="2">
        <v>72.201315177538362</v>
      </c>
      <c r="C260" s="2">
        <v>1.2098674592226539</v>
      </c>
      <c r="D260" s="2">
        <v>3.276899133399255</v>
      </c>
      <c r="E260" s="2">
        <v>0.22847933333333331</v>
      </c>
      <c r="F260" s="2">
        <v>0.10959949640287769</v>
      </c>
      <c r="G260" s="2">
        <v>0.75432573529411773</v>
      </c>
      <c r="H260" s="7">
        <v>0</v>
      </c>
    </row>
    <row r="261" spans="1:8" x14ac:dyDescent="0.3">
      <c r="A261">
        <v>260</v>
      </c>
      <c r="B261" s="2">
        <v>67.177109275449084</v>
      </c>
      <c r="C261" s="2">
        <v>1.194066951359672</v>
      </c>
      <c r="D261" s="2">
        <v>3.2700379543092222</v>
      </c>
      <c r="E261" s="2">
        <v>0.23962466666666671</v>
      </c>
      <c r="F261" s="2">
        <v>0.1060640287769784</v>
      </c>
      <c r="G261" s="2">
        <v>0.73810367647058839</v>
      </c>
      <c r="H261" s="7">
        <v>0</v>
      </c>
    </row>
    <row r="262" spans="1:8" x14ac:dyDescent="0.3">
      <c r="A262">
        <v>261</v>
      </c>
      <c r="B262" s="2">
        <v>65.403238104545665</v>
      </c>
      <c r="C262" s="2">
        <v>1.317085191150035</v>
      </c>
      <c r="D262" s="2">
        <v>3.2549433603111519</v>
      </c>
      <c r="E262" s="2">
        <v>0.27027433333333323</v>
      </c>
      <c r="F262" s="2">
        <v>3.0640719424460429E-2</v>
      </c>
      <c r="G262" s="2">
        <v>0.70836323529411771</v>
      </c>
      <c r="H262" s="7">
        <v>0</v>
      </c>
    </row>
    <row r="263" spans="1:8" x14ac:dyDescent="0.3">
      <c r="A263">
        <v>262</v>
      </c>
      <c r="B263" s="2">
        <v>64.389408605229036</v>
      </c>
      <c r="C263" s="2">
        <v>1.292255821651062</v>
      </c>
      <c r="D263" s="2">
        <v>3.3413942168455542</v>
      </c>
      <c r="E263" s="2">
        <v>0.25634266666666672</v>
      </c>
      <c r="F263" s="2">
        <v>4.7139568345323742E-2</v>
      </c>
      <c r="G263" s="2">
        <v>0.69214117647058826</v>
      </c>
      <c r="H263" s="7">
        <v>0</v>
      </c>
    </row>
    <row r="264" spans="1:8" x14ac:dyDescent="0.3">
      <c r="A264">
        <v>263</v>
      </c>
      <c r="B264" s="2">
        <v>60.130531621137592</v>
      </c>
      <c r="C264" s="2">
        <v>1.315956583445536</v>
      </c>
      <c r="D264" s="2">
        <v>3.331788566119509</v>
      </c>
      <c r="E264" s="2">
        <v>0.25448511111111111</v>
      </c>
      <c r="F264" s="2">
        <v>8.8386690647482016E-2</v>
      </c>
      <c r="G264" s="2">
        <v>0.64888235294117647</v>
      </c>
      <c r="H264" s="7">
        <v>0</v>
      </c>
    </row>
    <row r="265" spans="1:8" x14ac:dyDescent="0.3">
      <c r="A265">
        <v>264</v>
      </c>
      <c r="B265" s="2">
        <v>57.679892909621252</v>
      </c>
      <c r="C265" s="2">
        <v>1.3272426604905241</v>
      </c>
      <c r="D265" s="2">
        <v>3.2576878319471652</v>
      </c>
      <c r="E265" s="2">
        <v>0.27584700000000001</v>
      </c>
      <c r="F265" s="2">
        <v>0.1025285611510791</v>
      </c>
      <c r="G265" s="2">
        <v>0.63536397058823535</v>
      </c>
      <c r="H265" s="7">
        <v>0</v>
      </c>
    </row>
    <row r="266" spans="1:8" x14ac:dyDescent="0.3">
      <c r="A266">
        <v>265</v>
      </c>
      <c r="B266" s="2">
        <v>55.40769876447748</v>
      </c>
      <c r="C266" s="2">
        <v>1.3283712681950219</v>
      </c>
      <c r="D266" s="2">
        <v>3.3029716139413758</v>
      </c>
      <c r="E266" s="2">
        <v>0.27956211111111118</v>
      </c>
      <c r="F266" s="2">
        <v>9.5457625899280571E-2</v>
      </c>
      <c r="G266" s="2">
        <v>0.59751250000000011</v>
      </c>
      <c r="H266" s="7">
        <v>0</v>
      </c>
    </row>
    <row r="267" spans="1:8" x14ac:dyDescent="0.3">
      <c r="A267">
        <v>266</v>
      </c>
      <c r="B267" s="2">
        <v>54.449385352476753</v>
      </c>
      <c r="C267" s="2">
        <v>1.3227282296725289</v>
      </c>
      <c r="D267" s="2">
        <v>3.3413942168455542</v>
      </c>
      <c r="E267" s="2">
        <v>0.28327722222222218</v>
      </c>
      <c r="F267" s="2">
        <v>0.1414187050359712</v>
      </c>
      <c r="G267" s="2">
        <v>0.59751250000000011</v>
      </c>
      <c r="H267" s="7">
        <v>0</v>
      </c>
    </row>
    <row r="268" spans="1:8" x14ac:dyDescent="0.3">
      <c r="A268">
        <v>267</v>
      </c>
      <c r="B268" s="2">
        <v>52.374141136144161</v>
      </c>
      <c r="C268" s="2">
        <v>1.4976624238698339</v>
      </c>
      <c r="D268" s="2">
        <v>3.3523721033896048</v>
      </c>
      <c r="E268" s="2">
        <v>0.25262755555555561</v>
      </c>
      <c r="F268" s="2">
        <v>0.13552625899280571</v>
      </c>
      <c r="G268" s="2">
        <v>0.66510441176470592</v>
      </c>
      <c r="H268" s="7">
        <v>0</v>
      </c>
    </row>
    <row r="269" spans="1:8" x14ac:dyDescent="0.3">
      <c r="A269">
        <v>268</v>
      </c>
      <c r="B269" s="2">
        <v>49.648565611253836</v>
      </c>
      <c r="C269" s="2">
        <v>1.359972283920988</v>
      </c>
      <c r="D269" s="2">
        <v>3.1396755515986139</v>
      </c>
      <c r="E269" s="2">
        <v>0.24519733333333329</v>
      </c>
      <c r="F269" s="2">
        <v>0.1202058992805755</v>
      </c>
      <c r="G269" s="2">
        <v>0.50558749999999997</v>
      </c>
      <c r="H269" s="7">
        <v>0</v>
      </c>
    </row>
    <row r="270" spans="1:8" x14ac:dyDescent="0.3">
      <c r="A270">
        <v>269</v>
      </c>
      <c r="B270" s="2">
        <v>47.117296391969191</v>
      </c>
      <c r="C270" s="2">
        <v>1.221153536267642</v>
      </c>
      <c r="D270" s="2">
        <v>2.9009065192655039</v>
      </c>
      <c r="E270" s="2">
        <v>0.25355633333333338</v>
      </c>
      <c r="F270" s="2">
        <v>0.1213843884892086</v>
      </c>
      <c r="G270" s="2">
        <v>0.53262426470588242</v>
      </c>
      <c r="H270" s="7">
        <v>0</v>
      </c>
    </row>
    <row r="271" spans="1:8" x14ac:dyDescent="0.3">
      <c r="A271">
        <v>270</v>
      </c>
      <c r="B271" s="2">
        <v>48.140378572505128</v>
      </c>
      <c r="C271" s="2">
        <v>1.3633581070344829</v>
      </c>
      <c r="D271" s="2">
        <v>3.1533979097786791</v>
      </c>
      <c r="E271" s="2">
        <v>0.28792111111111113</v>
      </c>
      <c r="F271" s="2">
        <v>0.1213843884892086</v>
      </c>
      <c r="G271" s="2">
        <v>0.57317941176470588</v>
      </c>
      <c r="H271" s="7">
        <v>0</v>
      </c>
    </row>
    <row r="272" spans="1:8" x14ac:dyDescent="0.3">
      <c r="A272">
        <v>271</v>
      </c>
      <c r="B272" s="2">
        <v>44.701024782124612</v>
      </c>
      <c r="C272" s="2">
        <v>1.3893160842379539</v>
      </c>
      <c r="D272" s="2">
        <v>3.054596930882219</v>
      </c>
      <c r="E272" s="2">
        <v>0.29720888888888891</v>
      </c>
      <c r="F272" s="2">
        <v>0.12727683453237421</v>
      </c>
      <c r="G272" s="2">
        <v>0.52721691176470609</v>
      </c>
      <c r="H272" s="7">
        <v>0</v>
      </c>
    </row>
    <row r="273" spans="1:8" x14ac:dyDescent="0.3">
      <c r="A273">
        <v>272</v>
      </c>
      <c r="B273" s="2">
        <v>44.765793550659822</v>
      </c>
      <c r="C273" s="2">
        <v>1.4164026691459239</v>
      </c>
      <c r="D273" s="2">
        <v>3.1273254292365591</v>
      </c>
      <c r="E273" s="2">
        <v>0.29999522222222219</v>
      </c>
      <c r="F273" s="2">
        <v>0.1202058992805755</v>
      </c>
      <c r="G273" s="2">
        <v>0.42177352941176482</v>
      </c>
      <c r="H273" s="7">
        <v>0</v>
      </c>
    </row>
    <row r="274" spans="1:8" x14ac:dyDescent="0.3">
      <c r="A274">
        <v>273</v>
      </c>
      <c r="B274" s="2">
        <v>43.332949773268403</v>
      </c>
      <c r="C274" s="2">
        <v>1.3611008916254861</v>
      </c>
      <c r="D274" s="2">
        <v>3.130069900872571</v>
      </c>
      <c r="E274" s="2">
        <v>0.28792111111111113</v>
      </c>
      <c r="F274" s="2">
        <v>0.12609834532374101</v>
      </c>
      <c r="G274" s="2">
        <v>0.45421764705882373</v>
      </c>
      <c r="H274" s="7">
        <v>0</v>
      </c>
    </row>
    <row r="275" spans="1:8" x14ac:dyDescent="0.3">
      <c r="A275">
        <v>274</v>
      </c>
      <c r="B275" s="2">
        <v>43.327662526857367</v>
      </c>
      <c r="C275" s="2">
        <v>1.250497336584609</v>
      </c>
      <c r="D275" s="2">
        <v>3.0257799787040849</v>
      </c>
      <c r="E275" s="2">
        <v>0.24333977777777779</v>
      </c>
      <c r="F275" s="2">
        <v>0.12963381294964019</v>
      </c>
      <c r="G275" s="2">
        <v>0.46773602941176479</v>
      </c>
      <c r="H275" s="7">
        <v>0</v>
      </c>
    </row>
    <row r="276" spans="1:8" x14ac:dyDescent="0.3">
      <c r="A276">
        <v>275</v>
      </c>
      <c r="B276" s="2">
        <v>44.411548041120263</v>
      </c>
      <c r="C276" s="2">
        <v>1.286612783128569</v>
      </c>
      <c r="D276" s="2">
        <v>2.977751725073861</v>
      </c>
      <c r="E276" s="2">
        <v>0.23498077777777771</v>
      </c>
      <c r="F276" s="2">
        <v>0.10017158273381289</v>
      </c>
      <c r="G276" s="2">
        <v>0.52180955882352942</v>
      </c>
      <c r="H276" s="7">
        <v>0</v>
      </c>
    </row>
    <row r="277" spans="1:8" x14ac:dyDescent="0.3">
      <c r="A277">
        <v>276</v>
      </c>
      <c r="B277" s="2">
        <v>45.806059282031647</v>
      </c>
      <c r="C277" s="2">
        <v>1.1489226431797219</v>
      </c>
      <c r="D277" s="2">
        <v>3.0395023368841492</v>
      </c>
      <c r="E277" s="2">
        <v>0.21361888888888891</v>
      </c>
      <c r="F277" s="2">
        <v>7.1887841726618704E-2</v>
      </c>
      <c r="G277" s="2">
        <v>0.57317941176470588</v>
      </c>
      <c r="H277" s="7">
        <v>0</v>
      </c>
    </row>
    <row r="278" spans="1:8" x14ac:dyDescent="0.3">
      <c r="A278">
        <v>277</v>
      </c>
      <c r="B278" s="2">
        <v>45.418768482423083</v>
      </c>
      <c r="C278" s="2">
        <v>1.16020872022471</v>
      </c>
      <c r="D278" s="2">
        <v>3.0244077428860789</v>
      </c>
      <c r="E278" s="2">
        <v>0.22383544444444439</v>
      </c>
      <c r="F278" s="2">
        <v>5.7745971223021567E-2</v>
      </c>
      <c r="G278" s="2">
        <v>0.55425367647058832</v>
      </c>
      <c r="H278" s="7">
        <v>0</v>
      </c>
    </row>
    <row r="279" spans="1:8" x14ac:dyDescent="0.3">
      <c r="A279">
        <v>278</v>
      </c>
      <c r="B279" s="2">
        <v>48.078253427175419</v>
      </c>
      <c r="C279" s="2">
        <v>1.047347949774835</v>
      </c>
      <c r="D279" s="2">
        <v>3.0463635159741811</v>
      </c>
      <c r="E279" s="2">
        <v>0.21826277777777781</v>
      </c>
      <c r="F279" s="2">
        <v>9.6636115107913673E-2</v>
      </c>
      <c r="G279" s="2">
        <v>0.68943750000000004</v>
      </c>
      <c r="H279" s="7">
        <v>0</v>
      </c>
    </row>
    <row r="280" spans="1:8" x14ac:dyDescent="0.3">
      <c r="A280">
        <v>279</v>
      </c>
      <c r="B280" s="2">
        <v>43.313122599227007</v>
      </c>
      <c r="C280" s="2">
        <v>1.074434534682805</v>
      </c>
      <c r="D280" s="2">
        <v>2.9407013579876891</v>
      </c>
      <c r="E280" s="2">
        <v>0.21176133333333341</v>
      </c>
      <c r="F280" s="2">
        <v>0.10842100719424461</v>
      </c>
      <c r="G280" s="2">
        <v>0.59751250000000011</v>
      </c>
      <c r="H280" s="7">
        <v>0</v>
      </c>
    </row>
    <row r="281" spans="1:8" x14ac:dyDescent="0.3">
      <c r="A281">
        <v>280</v>
      </c>
      <c r="B281" s="2">
        <v>40.304679391346127</v>
      </c>
      <c r="C281" s="2">
        <v>1.1545656817022161</v>
      </c>
      <c r="D281" s="2">
        <v>2.9407013579876891</v>
      </c>
      <c r="E281" s="2">
        <v>0.2386958888888889</v>
      </c>
      <c r="F281" s="2">
        <v>9.0743669064748206E-2</v>
      </c>
      <c r="G281" s="2">
        <v>0.57588308823529422</v>
      </c>
      <c r="H281" s="7">
        <v>0</v>
      </c>
    </row>
    <row r="282" spans="1:8" x14ac:dyDescent="0.3">
      <c r="A282">
        <v>281</v>
      </c>
      <c r="B282" s="2">
        <v>39.541994096553843</v>
      </c>
      <c r="C282" s="2">
        <v>1.192938343655173</v>
      </c>
      <c r="D282" s="2">
        <v>2.9544237161677538</v>
      </c>
      <c r="E282" s="2">
        <v>0.24891244444444449</v>
      </c>
      <c r="F282" s="2">
        <v>0.10959949640287769</v>
      </c>
      <c r="G282" s="2">
        <v>0.59751250000000011</v>
      </c>
      <c r="H282" s="7">
        <v>0</v>
      </c>
    </row>
    <row r="283" spans="1:8" x14ac:dyDescent="0.3">
      <c r="A283">
        <v>282</v>
      </c>
      <c r="B283" s="2">
        <v>38.559888075703448</v>
      </c>
      <c r="C283" s="2">
        <v>1.1918097359506741</v>
      </c>
      <c r="D283" s="2">
        <v>2.9365846505336699</v>
      </c>
      <c r="E283" s="2">
        <v>0.25634266666666672</v>
      </c>
      <c r="F283" s="2">
        <v>0.10842100719424461</v>
      </c>
      <c r="G283" s="2">
        <v>0.59480882352941178</v>
      </c>
      <c r="H283" s="7">
        <v>0</v>
      </c>
    </row>
    <row r="284" spans="1:8" x14ac:dyDescent="0.3">
      <c r="A284">
        <v>283</v>
      </c>
      <c r="B284" s="2">
        <v>37.372901256425322</v>
      </c>
      <c r="C284" s="2">
        <v>1.2177677131541449</v>
      </c>
      <c r="D284" s="2">
        <v>2.9091399341735431</v>
      </c>
      <c r="E284" s="2">
        <v>0.26563044444444439</v>
      </c>
      <c r="F284" s="2">
        <v>8.9565179856115104E-2</v>
      </c>
      <c r="G284" s="2">
        <v>0.58940147058823533</v>
      </c>
      <c r="H284" s="7">
        <v>0</v>
      </c>
    </row>
    <row r="285" spans="1:8" x14ac:dyDescent="0.3">
      <c r="A285">
        <v>284</v>
      </c>
      <c r="B285" s="2">
        <v>35.599030085521917</v>
      </c>
      <c r="C285" s="2">
        <v>1.256140375107103</v>
      </c>
      <c r="D285" s="2">
        <v>2.9393291221696831</v>
      </c>
      <c r="E285" s="2">
        <v>0.28699233333333329</v>
      </c>
      <c r="F285" s="2">
        <v>0.12845532374100721</v>
      </c>
      <c r="G285" s="2">
        <v>0.58399411764705889</v>
      </c>
      <c r="H285" s="7">
        <v>0</v>
      </c>
    </row>
    <row r="286" spans="1:8" x14ac:dyDescent="0.3">
      <c r="A286">
        <v>285</v>
      </c>
      <c r="B286" s="2">
        <v>34.943411530553142</v>
      </c>
      <c r="C286" s="2">
        <v>1.2132532823361499</v>
      </c>
      <c r="D286" s="2">
        <v>2.9228622923536061</v>
      </c>
      <c r="E286" s="2">
        <v>0.27863333333333329</v>
      </c>
      <c r="F286" s="2">
        <v>0.14259719424460429</v>
      </c>
      <c r="G286" s="2">
        <v>0.57858676470588233</v>
      </c>
      <c r="H286" s="7">
        <v>0</v>
      </c>
    </row>
    <row r="287" spans="1:8" x14ac:dyDescent="0.3">
      <c r="A287">
        <v>286</v>
      </c>
      <c r="B287" s="2">
        <v>34.327447323667158</v>
      </c>
      <c r="C287" s="2">
        <v>1.222282143972141</v>
      </c>
      <c r="D287" s="2">
        <v>2.924234528171612</v>
      </c>
      <c r="E287" s="2">
        <v>0.28606355555555563</v>
      </c>
      <c r="F287" s="2">
        <v>0.1237413669064748</v>
      </c>
      <c r="G287" s="2">
        <v>0.57858676470588233</v>
      </c>
      <c r="H287" s="7">
        <v>0</v>
      </c>
    </row>
    <row r="288" spans="1:8" x14ac:dyDescent="0.3">
      <c r="A288">
        <v>287</v>
      </c>
      <c r="B288" s="2">
        <v>33.872744132317862</v>
      </c>
      <c r="C288" s="2">
        <v>1.229053790199133</v>
      </c>
      <c r="D288" s="2">
        <v>2.9310957072616439</v>
      </c>
      <c r="E288" s="2">
        <v>0.29349377777777769</v>
      </c>
      <c r="F288" s="2">
        <v>7.778028776978417E-2</v>
      </c>
      <c r="G288" s="2">
        <v>0.57858676470588233</v>
      </c>
      <c r="H288" s="7">
        <v>0</v>
      </c>
    </row>
    <row r="289" spans="1:8" x14ac:dyDescent="0.3">
      <c r="A289">
        <v>288</v>
      </c>
      <c r="B289" s="2">
        <v>33.427293622187882</v>
      </c>
      <c r="C289" s="2">
        <v>1.233568221017127</v>
      </c>
      <c r="D289" s="2">
        <v>2.942073593805695</v>
      </c>
      <c r="E289" s="2">
        <v>0.30092400000000002</v>
      </c>
      <c r="F289" s="2">
        <v>0.1414187050359712</v>
      </c>
      <c r="G289" s="2">
        <v>0.58129044117647066</v>
      </c>
      <c r="H289" s="7">
        <v>0</v>
      </c>
    </row>
    <row r="290" spans="1:8" x14ac:dyDescent="0.3">
      <c r="A290">
        <v>289</v>
      </c>
      <c r="B290" s="2">
        <v>32.948797821988883</v>
      </c>
      <c r="C290" s="2">
        <v>1.233568221017127</v>
      </c>
      <c r="D290" s="2">
        <v>2.955795951985758</v>
      </c>
      <c r="E290" s="2">
        <v>0.30742544444444447</v>
      </c>
      <c r="F290" s="2">
        <v>0.1025285611510791</v>
      </c>
      <c r="G290" s="2">
        <v>0.58399411764705889</v>
      </c>
      <c r="H290" s="7">
        <v>0</v>
      </c>
    </row>
    <row r="291" spans="1:8" x14ac:dyDescent="0.3">
      <c r="A291">
        <v>290</v>
      </c>
      <c r="B291" s="2">
        <v>32.495416442242337</v>
      </c>
      <c r="C291" s="2">
        <v>1.229053790199133</v>
      </c>
      <c r="D291" s="2">
        <v>2.9681460743478172</v>
      </c>
      <c r="E291" s="2">
        <v>0.31021177777777781</v>
      </c>
      <c r="F291" s="2">
        <v>9.6636115107913673E-2</v>
      </c>
      <c r="G291" s="2">
        <v>0.586697794117647</v>
      </c>
      <c r="H291" s="7">
        <v>0</v>
      </c>
    </row>
    <row r="292" spans="1:8" x14ac:dyDescent="0.3">
      <c r="A292">
        <v>291</v>
      </c>
      <c r="B292" s="2">
        <v>32.079045787373062</v>
      </c>
      <c r="C292" s="2">
        <v>1.223410751676639</v>
      </c>
      <c r="D292" s="2">
        <v>2.9859851399819011</v>
      </c>
      <c r="E292" s="2">
        <v>0.3148556666666667</v>
      </c>
      <c r="F292" s="2">
        <v>8.2494244604316549E-2</v>
      </c>
      <c r="G292" s="2">
        <v>0.586697794117647</v>
      </c>
      <c r="H292" s="7">
        <v>0</v>
      </c>
    </row>
    <row r="293" spans="1:8" x14ac:dyDescent="0.3">
      <c r="A293">
        <v>292</v>
      </c>
      <c r="B293" s="2">
        <v>31.76048919110799</v>
      </c>
      <c r="C293" s="2">
        <v>1.2177677131541449</v>
      </c>
      <c r="D293" s="2">
        <v>3.0065686772519959</v>
      </c>
      <c r="E293" s="2">
        <v>0.31949955555555548</v>
      </c>
      <c r="F293" s="2">
        <v>5.6567482014388493E-2</v>
      </c>
      <c r="G293" s="2">
        <v>0.58940147058823533</v>
      </c>
      <c r="H293" s="7">
        <v>0</v>
      </c>
    </row>
    <row r="294" spans="1:8" x14ac:dyDescent="0.3">
      <c r="A294">
        <v>293</v>
      </c>
      <c r="B294" s="2">
        <v>31.411530927979459</v>
      </c>
      <c r="C294" s="2">
        <v>1.2109960669271529</v>
      </c>
      <c r="D294" s="2">
        <v>3.0202910354320598</v>
      </c>
      <c r="E294" s="2">
        <v>0.32228588888888882</v>
      </c>
      <c r="F294" s="2">
        <v>8.8386690647482016E-2</v>
      </c>
      <c r="G294" s="2">
        <v>0.58129044117647066</v>
      </c>
      <c r="H294" s="7">
        <v>0</v>
      </c>
    </row>
    <row r="295" spans="1:8" x14ac:dyDescent="0.3">
      <c r="A295">
        <v>294</v>
      </c>
      <c r="B295" s="2">
        <v>31.132628679797179</v>
      </c>
      <c r="C295" s="2">
        <v>1.2030958129956619</v>
      </c>
      <c r="D295" s="2">
        <v>3.0449912801561738</v>
      </c>
      <c r="E295" s="2">
        <v>0.32785855555555549</v>
      </c>
      <c r="F295" s="2">
        <v>0.11549194244604311</v>
      </c>
      <c r="G295" s="2">
        <v>0.58129044117647066</v>
      </c>
      <c r="H295" s="7">
        <v>0</v>
      </c>
    </row>
    <row r="296" spans="1:8" x14ac:dyDescent="0.3">
      <c r="A296">
        <v>295</v>
      </c>
      <c r="B296" s="2">
        <v>28.94503047723002</v>
      </c>
      <c r="C296" s="2">
        <v>0.96608819505092547</v>
      </c>
      <c r="D296" s="2">
        <v>2.9036509909015158</v>
      </c>
      <c r="E296" s="2">
        <v>0.27120311111111112</v>
      </c>
      <c r="F296" s="2">
        <v>8.6029712230215813E-2</v>
      </c>
      <c r="G296" s="2">
        <v>0.48666176470588229</v>
      </c>
      <c r="H296" s="7">
        <v>0</v>
      </c>
    </row>
    <row r="297" spans="1:8" x14ac:dyDescent="0.3">
      <c r="A297">
        <v>296</v>
      </c>
      <c r="B297" s="2">
        <v>27.476497786564089</v>
      </c>
      <c r="C297" s="2">
        <v>1.0721773192738071</v>
      </c>
      <c r="D297" s="2">
        <v>3.1039974203304501</v>
      </c>
      <c r="E297" s="2">
        <v>0.3167132222222222</v>
      </c>
      <c r="F297" s="2">
        <v>9.1922158273381294E-2</v>
      </c>
      <c r="G297" s="2">
        <v>0.50288382352941186</v>
      </c>
      <c r="H297" s="7">
        <v>0</v>
      </c>
    </row>
    <row r="298" spans="1:8" x14ac:dyDescent="0.3">
      <c r="A298">
        <v>297</v>
      </c>
      <c r="B298" s="2">
        <v>28.07924387742246</v>
      </c>
      <c r="C298" s="2">
        <v>1.162465935633707</v>
      </c>
      <c r="D298" s="2">
        <v>3.1424200232346289</v>
      </c>
      <c r="E298" s="2">
        <v>0.32321466666666671</v>
      </c>
      <c r="F298" s="2">
        <v>8.4851223021582725E-2</v>
      </c>
      <c r="G298" s="2">
        <v>0.55695735294117643</v>
      </c>
      <c r="H298" s="7">
        <v>0</v>
      </c>
    </row>
    <row r="299" spans="1:8" x14ac:dyDescent="0.3">
      <c r="A299">
        <v>298</v>
      </c>
      <c r="B299" s="2">
        <v>28.437454821770331</v>
      </c>
      <c r="C299" s="2">
        <v>1.162465935633707</v>
      </c>
      <c r="D299" s="2">
        <v>3.0765527039703211</v>
      </c>
      <c r="E299" s="2">
        <v>0.31857077777777781</v>
      </c>
      <c r="F299" s="2">
        <v>7.5423309352517995E-2</v>
      </c>
      <c r="G299" s="2">
        <v>0.57317941176470588</v>
      </c>
      <c r="H299" s="7">
        <v>0</v>
      </c>
    </row>
    <row r="300" spans="1:8" x14ac:dyDescent="0.3">
      <c r="A300">
        <v>299</v>
      </c>
      <c r="B300" s="2">
        <v>28.470500111839311</v>
      </c>
      <c r="C300" s="2">
        <v>1.1737520126786949</v>
      </c>
      <c r="D300" s="2">
        <v>3.0106853847060151</v>
      </c>
      <c r="E300" s="2">
        <v>0.31857077777777781</v>
      </c>
      <c r="F300" s="2">
        <v>6.0102949640287763E-2</v>
      </c>
      <c r="G300" s="2">
        <v>0.56777205882352944</v>
      </c>
      <c r="H300" s="7">
        <v>0</v>
      </c>
    </row>
    <row r="301" spans="1:8" x14ac:dyDescent="0.3">
      <c r="A301">
        <v>300</v>
      </c>
      <c r="B301" s="2">
        <v>28.51147627152487</v>
      </c>
      <c r="C301" s="2">
        <v>1.1805236589056869</v>
      </c>
      <c r="D301" s="2">
        <v>2.955795951985758</v>
      </c>
      <c r="E301" s="2">
        <v>0.3167132222222222</v>
      </c>
      <c r="F301" s="2">
        <v>5.0675035971223019E-2</v>
      </c>
      <c r="G301" s="2">
        <v>0.55966102941176477</v>
      </c>
      <c r="H301" s="7">
        <v>0</v>
      </c>
    </row>
    <row r="302" spans="1:8" x14ac:dyDescent="0.3">
      <c r="A302">
        <v>301</v>
      </c>
      <c r="B302" s="2">
        <v>28.417627647728921</v>
      </c>
      <c r="C302" s="2">
        <v>1.1771378357921909</v>
      </c>
      <c r="D302" s="2">
        <v>2.942073593805695</v>
      </c>
      <c r="E302" s="2">
        <v>0.31857077777777781</v>
      </c>
      <c r="F302" s="2">
        <v>0.24512575539568349</v>
      </c>
      <c r="G302" s="2">
        <v>0.56777205882352944</v>
      </c>
      <c r="H302" s="7">
        <v>0</v>
      </c>
    </row>
    <row r="303" spans="1:8" x14ac:dyDescent="0.3">
      <c r="A303">
        <v>302</v>
      </c>
      <c r="B303" s="2">
        <v>28.3726860532351</v>
      </c>
      <c r="C303" s="2">
        <v>1.1805236589056869</v>
      </c>
      <c r="D303" s="2">
        <v>2.9448180654417082</v>
      </c>
      <c r="E303" s="2">
        <v>0.32042833333333332</v>
      </c>
      <c r="F303" s="2">
        <v>0.18855827338129491</v>
      </c>
      <c r="G303" s="2">
        <v>0.57047573529411755</v>
      </c>
      <c r="H303" s="7">
        <v>0</v>
      </c>
    </row>
    <row r="304" spans="1:8" x14ac:dyDescent="0.3">
      <c r="A304">
        <v>303</v>
      </c>
      <c r="B304" s="2">
        <v>28.31849177752196</v>
      </c>
      <c r="C304" s="2">
        <v>1.1827808743146839</v>
      </c>
      <c r="D304" s="2">
        <v>2.953051480349747</v>
      </c>
      <c r="E304" s="2">
        <v>0.32414344444444437</v>
      </c>
      <c r="F304" s="2">
        <v>7.1887841726618704E-2</v>
      </c>
      <c r="G304" s="2">
        <v>0.57588308823529422</v>
      </c>
      <c r="H304" s="7">
        <v>0</v>
      </c>
    </row>
    <row r="305" spans="1:8" x14ac:dyDescent="0.3">
      <c r="A305">
        <v>304</v>
      </c>
      <c r="B305" s="2">
        <v>28.261653878603301</v>
      </c>
      <c r="C305" s="2">
        <v>1.196324166768669</v>
      </c>
      <c r="D305" s="2">
        <v>2.969518310165824</v>
      </c>
      <c r="E305" s="2">
        <v>0.32878733333333332</v>
      </c>
      <c r="F305" s="2">
        <v>4.2425611510791363E-2</v>
      </c>
      <c r="G305" s="2">
        <v>0.57858676470588233</v>
      </c>
      <c r="H305" s="7">
        <v>0</v>
      </c>
    </row>
    <row r="306" spans="1:8" x14ac:dyDescent="0.3">
      <c r="A306">
        <v>305</v>
      </c>
      <c r="B306" s="2">
        <v>28.252401197383978</v>
      </c>
      <c r="C306" s="2">
        <v>1.166980366451702</v>
      </c>
      <c r="D306" s="2">
        <v>2.976379489255855</v>
      </c>
      <c r="E306" s="2">
        <v>0.33064488888888888</v>
      </c>
      <c r="F306" s="2">
        <v>4.4782589928057552E-2</v>
      </c>
      <c r="G306" s="2">
        <v>0.58940147058823533</v>
      </c>
      <c r="H306" s="7">
        <v>0</v>
      </c>
    </row>
    <row r="307" spans="1:8" x14ac:dyDescent="0.3">
      <c r="A307">
        <v>306</v>
      </c>
      <c r="B307" s="2">
        <v>28.391191415673742</v>
      </c>
      <c r="C307" s="2">
        <v>1.172623404974195</v>
      </c>
      <c r="D307" s="2">
        <v>2.9983352623439581</v>
      </c>
      <c r="E307" s="2">
        <v>0.33343122222222221</v>
      </c>
      <c r="F307" s="2">
        <v>4.5961079136690647E-2</v>
      </c>
      <c r="G307" s="2">
        <v>0.59480882352941178</v>
      </c>
      <c r="H307" s="7">
        <v>0</v>
      </c>
    </row>
    <row r="308" spans="1:8" x14ac:dyDescent="0.3">
      <c r="A308">
        <v>307</v>
      </c>
      <c r="B308" s="2">
        <v>28.336997139960602</v>
      </c>
      <c r="C308" s="2">
        <v>1.194066951359672</v>
      </c>
      <c r="D308" s="2">
        <v>3.0161743279780411</v>
      </c>
      <c r="E308" s="2">
        <v>0.33435999999999999</v>
      </c>
      <c r="F308" s="2">
        <v>4.4782589928057552E-2</v>
      </c>
      <c r="G308" s="2">
        <v>0.586697794117647</v>
      </c>
      <c r="H308" s="7">
        <v>0</v>
      </c>
    </row>
    <row r="309" spans="1:8" x14ac:dyDescent="0.3">
      <c r="A309">
        <v>308</v>
      </c>
      <c r="B309" s="2">
        <v>27.91269561547476</v>
      </c>
      <c r="C309" s="2">
        <v>1.1523084662932179</v>
      </c>
      <c r="D309" s="2">
        <v>3.03538562943013</v>
      </c>
      <c r="E309" s="2">
        <v>0.342719</v>
      </c>
      <c r="F309" s="2">
        <v>5.0675035971223019E-2</v>
      </c>
      <c r="G309" s="2">
        <v>0.59480882352941178</v>
      </c>
      <c r="H309" s="7">
        <v>0</v>
      </c>
    </row>
    <row r="310" spans="1:8" x14ac:dyDescent="0.3">
      <c r="A310">
        <v>309</v>
      </c>
      <c r="B310" s="2">
        <v>29.726221134460939</v>
      </c>
      <c r="C310" s="2">
        <v>1.301284683287053</v>
      </c>
      <c r="D310" s="2">
        <v>3.2096595783169399</v>
      </c>
      <c r="E310" s="2">
        <v>0.2424110000000001</v>
      </c>
      <c r="F310" s="2">
        <v>5.1853525179856107E-2</v>
      </c>
      <c r="G310" s="2">
        <v>0.38932941176470592</v>
      </c>
      <c r="H310" s="7">
        <v>0</v>
      </c>
    </row>
    <row r="311" spans="1:8" x14ac:dyDescent="0.3">
      <c r="A311">
        <v>310</v>
      </c>
      <c r="B311" s="2">
        <v>45.228427611625698</v>
      </c>
      <c r="C311" s="2">
        <v>1.550706985981275</v>
      </c>
      <c r="D311" s="2">
        <v>3.5636964193625889</v>
      </c>
      <c r="E311" s="2">
        <v>0.2368383333333334</v>
      </c>
      <c r="F311" s="2">
        <v>4.2425611510791363E-2</v>
      </c>
      <c r="G311" s="2">
        <v>0.38121838235294131</v>
      </c>
      <c r="H311" s="7">
        <v>0</v>
      </c>
    </row>
    <row r="312" spans="1:8" x14ac:dyDescent="0.3">
      <c r="A312">
        <v>311</v>
      </c>
      <c r="B312" s="2">
        <v>38.036450681010642</v>
      </c>
      <c r="C312" s="2">
        <v>1.795614857857502</v>
      </c>
      <c r="D312" s="2">
        <v>3.3166939721214388</v>
      </c>
      <c r="E312" s="2">
        <v>0.2191915555555555</v>
      </c>
      <c r="F312" s="2">
        <v>0.1237413669064748</v>
      </c>
      <c r="G312" s="2">
        <v>0.28118235294117649</v>
      </c>
      <c r="H312" s="7">
        <v>0</v>
      </c>
    </row>
    <row r="313" spans="1:8" x14ac:dyDescent="0.3">
      <c r="A313">
        <v>312</v>
      </c>
      <c r="B313" s="2">
        <v>37.164055023189299</v>
      </c>
      <c r="C313" s="2">
        <v>2.1962705929545558</v>
      </c>
      <c r="D313" s="2">
        <v>3.545857353728505</v>
      </c>
      <c r="E313" s="2">
        <v>0.27398944444444429</v>
      </c>
      <c r="F313" s="2">
        <v>0.16734546762589919</v>
      </c>
      <c r="G313" s="2">
        <v>0.30551544117647073</v>
      </c>
      <c r="H313" s="7">
        <v>0</v>
      </c>
    </row>
    <row r="314" spans="1:8" x14ac:dyDescent="0.3">
      <c r="A314">
        <v>313</v>
      </c>
      <c r="B314" s="2">
        <v>35.714027694961999</v>
      </c>
      <c r="C314" s="2">
        <v>1.9852209522132911</v>
      </c>
      <c r="D314" s="2">
        <v>3.0806694114243411</v>
      </c>
      <c r="E314" s="2">
        <v>0.25912900000000011</v>
      </c>
      <c r="F314" s="2">
        <v>0.14259719424460429</v>
      </c>
      <c r="G314" s="2">
        <v>0.25955294117647071</v>
      </c>
      <c r="H314" s="7">
        <v>0</v>
      </c>
    </row>
    <row r="315" spans="1:8" x14ac:dyDescent="0.3">
      <c r="A315">
        <v>314</v>
      </c>
      <c r="B315" s="2">
        <v>34.739852543728148</v>
      </c>
      <c r="C315" s="2">
        <v>1.73467004181457</v>
      </c>
      <c r="D315" s="2">
        <v>3.0765527039703211</v>
      </c>
      <c r="E315" s="2">
        <v>0.36036577777777778</v>
      </c>
      <c r="F315" s="2">
        <v>0.1143134532374101</v>
      </c>
      <c r="G315" s="2">
        <v>0.64617867647058824</v>
      </c>
      <c r="H315" s="7">
        <v>0</v>
      </c>
    </row>
    <row r="316" spans="1:8" x14ac:dyDescent="0.3">
      <c r="A316">
        <v>315</v>
      </c>
      <c r="B316" s="2">
        <v>28.917272433572069</v>
      </c>
      <c r="C316" s="2">
        <v>1.169237581860699</v>
      </c>
      <c r="D316" s="2">
        <v>3.70366447279924</v>
      </c>
      <c r="E316" s="2">
        <v>0.47460544444444441</v>
      </c>
      <c r="F316" s="2">
        <v>0.12609834532374101</v>
      </c>
      <c r="G316" s="2">
        <v>0.66240073529411769</v>
      </c>
      <c r="H316" s="7">
        <v>0</v>
      </c>
    </row>
    <row r="317" spans="1:8" x14ac:dyDescent="0.3">
      <c r="A317">
        <v>316</v>
      </c>
      <c r="B317" s="2">
        <v>25.973597994226409</v>
      </c>
      <c r="C317" s="2">
        <v>1.170366189565198</v>
      </c>
      <c r="D317" s="2">
        <v>3.182214861956814</v>
      </c>
      <c r="E317" s="2">
        <v>0.41051977777777782</v>
      </c>
      <c r="F317" s="2">
        <v>0.10959949640287769</v>
      </c>
      <c r="G317" s="2">
        <v>0.58399411764705889</v>
      </c>
      <c r="H317" s="7">
        <v>0</v>
      </c>
    </row>
    <row r="318" spans="1:8" x14ac:dyDescent="0.3">
      <c r="A318">
        <v>317</v>
      </c>
      <c r="B318" s="2">
        <v>39.311998877673659</v>
      </c>
      <c r="C318" s="2">
        <v>2.798947107156887</v>
      </c>
      <c r="D318" s="2">
        <v>6.8405955527618438</v>
      </c>
      <c r="E318" s="2">
        <v>0.41051977777777782</v>
      </c>
      <c r="F318" s="2">
        <v>0.13081230215827341</v>
      </c>
      <c r="G318" s="2">
        <v>0.21899779411764711</v>
      </c>
      <c r="H318" s="7">
        <v>0</v>
      </c>
    </row>
    <row r="319" spans="1:8" x14ac:dyDescent="0.3">
      <c r="A319">
        <v>318</v>
      </c>
      <c r="B319" s="2">
        <v>25.758142702976588</v>
      </c>
      <c r="C319" s="2">
        <v>2.0913100764361729</v>
      </c>
      <c r="D319" s="2">
        <v>5.5259936391117241</v>
      </c>
      <c r="E319" s="2">
        <v>0.43931188888888878</v>
      </c>
      <c r="F319" s="2">
        <v>0.14848964028776979</v>
      </c>
      <c r="G319" s="2">
        <v>0.28388602941176477</v>
      </c>
      <c r="H319" s="7">
        <v>0</v>
      </c>
    </row>
    <row r="320" spans="1:8" x14ac:dyDescent="0.3">
      <c r="A320">
        <v>319</v>
      </c>
      <c r="B320" s="2">
        <v>31.56750469710509</v>
      </c>
      <c r="C320" s="2">
        <v>2.6736716519575272</v>
      </c>
      <c r="D320" s="2">
        <v>5.4162147736712143</v>
      </c>
      <c r="E320" s="2">
        <v>0.52568822222222222</v>
      </c>
      <c r="F320" s="2">
        <v>0.16027453237410069</v>
      </c>
      <c r="G320" s="2">
        <v>0.99765661764705893</v>
      </c>
      <c r="H320" s="7">
        <v>0</v>
      </c>
    </row>
    <row r="321" spans="1:8" x14ac:dyDescent="0.3">
      <c r="A321">
        <v>320</v>
      </c>
      <c r="B321" s="2">
        <v>30.118799180480551</v>
      </c>
      <c r="C321" s="2">
        <v>2.512280750214205</v>
      </c>
      <c r="D321" s="2">
        <v>5.6961508805445158</v>
      </c>
      <c r="E321" s="2">
        <v>0.52940333333333334</v>
      </c>
      <c r="F321" s="2">
        <v>0.20505712230215831</v>
      </c>
      <c r="G321" s="2">
        <v>1.30317205882353</v>
      </c>
      <c r="H321" s="7">
        <v>0</v>
      </c>
    </row>
    <row r="322" spans="1:8" x14ac:dyDescent="0.3">
      <c r="A322">
        <v>321</v>
      </c>
      <c r="B322" s="2">
        <v>29.57553461174636</v>
      </c>
      <c r="C322" s="2">
        <v>2.1545121078881029</v>
      </c>
      <c r="D322" s="2">
        <v>5.1801902129741144</v>
      </c>
      <c r="E322" s="2">
        <v>0.51825800000000011</v>
      </c>
      <c r="F322" s="2">
        <v>0.17205942446043171</v>
      </c>
      <c r="G322" s="2">
        <v>1.0706558823529411</v>
      </c>
      <c r="H322" s="7">
        <v>0</v>
      </c>
    </row>
    <row r="323" spans="1:8" x14ac:dyDescent="0.3">
      <c r="A323">
        <v>322</v>
      </c>
      <c r="B323" s="2">
        <v>28.9556049700521</v>
      </c>
      <c r="C323" s="2">
        <v>1.705326241497602</v>
      </c>
      <c r="D323" s="2">
        <v>4.4570219368847477</v>
      </c>
      <c r="E323" s="2">
        <v>0.46346011111111107</v>
      </c>
      <c r="F323" s="2">
        <v>0.1119564748201439</v>
      </c>
      <c r="G323" s="2">
        <v>0.79217720588235307</v>
      </c>
      <c r="H323" s="7">
        <v>0</v>
      </c>
    </row>
    <row r="324" spans="1:8" x14ac:dyDescent="0.3">
      <c r="A324">
        <v>323</v>
      </c>
      <c r="B324" s="2">
        <v>28.21803409571223</v>
      </c>
      <c r="C324" s="2">
        <v>1.4671900158483679</v>
      </c>
      <c r="D324" s="2">
        <v>3.9973229378526081</v>
      </c>
      <c r="E324" s="2">
        <v>0.41702122222222221</v>
      </c>
      <c r="F324" s="2">
        <v>7.1887841726618704E-2</v>
      </c>
      <c r="G324" s="2">
        <v>0.63536397058823535</v>
      </c>
      <c r="H324" s="7">
        <v>0</v>
      </c>
    </row>
    <row r="325" spans="1:8" x14ac:dyDescent="0.3">
      <c r="A325">
        <v>324</v>
      </c>
      <c r="B325" s="2">
        <v>27.25443343730047</v>
      </c>
      <c r="C325" s="2">
        <v>1.3543292453984941</v>
      </c>
      <c r="D325" s="2">
        <v>3.8875440724120969</v>
      </c>
      <c r="E325" s="2">
        <v>0.4021607777777777</v>
      </c>
      <c r="F325" s="2">
        <v>0.1072425179856115</v>
      </c>
      <c r="G325" s="2">
        <v>0.54884632352941176</v>
      </c>
      <c r="H325" s="7">
        <v>0</v>
      </c>
    </row>
    <row r="326" spans="1:8" x14ac:dyDescent="0.3">
      <c r="A326">
        <v>325</v>
      </c>
      <c r="B326" s="2">
        <v>26.391290460698439</v>
      </c>
      <c r="C326" s="2">
        <v>1.2448542980621149</v>
      </c>
      <c r="D326" s="2">
        <v>3.6885698788011698</v>
      </c>
      <c r="E326" s="2">
        <v>0.39194422222222208</v>
      </c>
      <c r="F326" s="2">
        <v>4.006863309352518E-2</v>
      </c>
      <c r="G326" s="2">
        <v>0.49206911764705891</v>
      </c>
      <c r="H326" s="7">
        <v>0</v>
      </c>
    </row>
    <row r="327" spans="1:8" x14ac:dyDescent="0.3">
      <c r="A327">
        <v>326</v>
      </c>
      <c r="B327" s="2">
        <v>25.63124878911167</v>
      </c>
      <c r="C327" s="2">
        <v>1.1884239128371781</v>
      </c>
      <c r="D327" s="2">
        <v>3.5582074760905642</v>
      </c>
      <c r="E327" s="2">
        <v>0.38822911111111108</v>
      </c>
      <c r="F327" s="2">
        <v>8.4851223021582725E-2</v>
      </c>
      <c r="G327" s="2">
        <v>0.4758470588235294</v>
      </c>
      <c r="H327" s="7">
        <v>0</v>
      </c>
    </row>
    <row r="328" spans="1:8" x14ac:dyDescent="0.3">
      <c r="A328">
        <v>327</v>
      </c>
      <c r="B328" s="2">
        <v>25.345737482915592</v>
      </c>
      <c r="C328" s="2">
        <v>1.233568221017127</v>
      </c>
      <c r="D328" s="2">
        <v>3.4539175539220781</v>
      </c>
      <c r="E328" s="2">
        <v>0.38358522222222219</v>
      </c>
      <c r="F328" s="2">
        <v>0.13081230215827341</v>
      </c>
      <c r="G328" s="2">
        <v>0.46773602941176479</v>
      </c>
      <c r="H328" s="7">
        <v>0</v>
      </c>
    </row>
    <row r="329" spans="1:8" x14ac:dyDescent="0.3">
      <c r="A329">
        <v>328</v>
      </c>
      <c r="B329" s="2">
        <v>25.409184439848051</v>
      </c>
      <c r="C329" s="2">
        <v>1.318213798854533</v>
      </c>
      <c r="D329" s="2">
        <v>3.4154949510178989</v>
      </c>
      <c r="E329" s="2">
        <v>0.38358522222222219</v>
      </c>
      <c r="F329" s="2">
        <v>0.12845532374100721</v>
      </c>
      <c r="G329" s="2">
        <v>0.46773602941176479</v>
      </c>
      <c r="H329" s="7">
        <v>0</v>
      </c>
    </row>
    <row r="330" spans="1:8" x14ac:dyDescent="0.3">
      <c r="A330">
        <v>329</v>
      </c>
      <c r="B330" s="2">
        <v>22.781422973561941</v>
      </c>
      <c r="C330" s="2">
        <v>1.489762169938343</v>
      </c>
      <c r="D330" s="2">
        <v>3.3208106795754579</v>
      </c>
      <c r="E330" s="2">
        <v>0.37429744444444452</v>
      </c>
      <c r="F330" s="2">
        <v>0.27576647482014383</v>
      </c>
      <c r="G330" s="2">
        <v>0.47855073529411762</v>
      </c>
      <c r="H330" s="7">
        <v>0</v>
      </c>
    </row>
    <row r="331" spans="1:8" x14ac:dyDescent="0.3">
      <c r="A331">
        <v>330</v>
      </c>
      <c r="B331" s="2">
        <v>25.688086688030332</v>
      </c>
      <c r="C331" s="2">
        <v>1.8723601817634179</v>
      </c>
      <c r="D331" s="2">
        <v>3.581535484996671</v>
      </c>
      <c r="E331" s="2">
        <v>0.37615500000000002</v>
      </c>
      <c r="F331" s="2">
        <v>8.1315755395683462E-2</v>
      </c>
      <c r="G331" s="2">
        <v>0.44340294117647072</v>
      </c>
      <c r="H331" s="7">
        <v>0</v>
      </c>
    </row>
    <row r="332" spans="1:8" x14ac:dyDescent="0.3">
      <c r="A332">
        <v>331</v>
      </c>
      <c r="B332" s="2">
        <v>25.61670886148131</v>
      </c>
      <c r="C332" s="2">
        <v>1.8825176511039059</v>
      </c>
      <c r="D332" s="2">
        <v>3.8751939500500381</v>
      </c>
      <c r="E332" s="2">
        <v>0.4068046666666667</v>
      </c>
      <c r="F332" s="2">
        <v>0</v>
      </c>
      <c r="G332" s="2">
        <v>0.448810294117647</v>
      </c>
      <c r="H332" s="7">
        <v>0</v>
      </c>
    </row>
    <row r="333" spans="1:8" x14ac:dyDescent="0.3">
      <c r="A333">
        <v>332</v>
      </c>
      <c r="B333" s="2">
        <v>25.035111756267082</v>
      </c>
      <c r="C333" s="2">
        <v>1.81592979653848</v>
      </c>
      <c r="D333" s="2">
        <v>3.7311091891593691</v>
      </c>
      <c r="E333" s="2">
        <v>0.41051977777777782</v>
      </c>
      <c r="F333" s="2">
        <v>0</v>
      </c>
      <c r="G333" s="2">
        <v>0.42988455882352938</v>
      </c>
      <c r="H333" s="7">
        <v>0</v>
      </c>
    </row>
    <row r="334" spans="1:8" x14ac:dyDescent="0.3">
      <c r="A334">
        <v>333</v>
      </c>
      <c r="B334" s="2">
        <v>27.02443821842029</v>
      </c>
      <c r="C334" s="2">
        <v>2.9388944625147309</v>
      </c>
      <c r="D334" s="2">
        <v>4.0782848511149847</v>
      </c>
      <c r="E334" s="2">
        <v>0.42630899999999999</v>
      </c>
      <c r="F334" s="2">
        <v>0</v>
      </c>
      <c r="G334" s="2">
        <v>0.5407352941176472</v>
      </c>
      <c r="H334" s="7">
        <v>0</v>
      </c>
    </row>
    <row r="335" spans="1:8" x14ac:dyDescent="0.3">
      <c r="A335">
        <v>334</v>
      </c>
      <c r="B335" s="2">
        <v>26.100491908091328</v>
      </c>
      <c r="C335" s="2">
        <v>2.9366372471057338</v>
      </c>
      <c r="D335" s="2">
        <v>6.3287515926454612</v>
      </c>
      <c r="E335" s="2">
        <v>0.44674211111111112</v>
      </c>
      <c r="F335" s="2">
        <v>0</v>
      </c>
      <c r="G335" s="2">
        <v>0.62995661764705879</v>
      </c>
      <c r="H335" s="7">
        <v>0</v>
      </c>
    </row>
    <row r="336" spans="1:8" x14ac:dyDescent="0.3">
      <c r="A336">
        <v>335</v>
      </c>
      <c r="B336" s="2">
        <v>25.6431450935365</v>
      </c>
      <c r="C336" s="2">
        <v>2.848605846154832</v>
      </c>
      <c r="D336" s="2">
        <v>6.072143494678266</v>
      </c>
      <c r="E336" s="2">
        <v>0.55448033333333324</v>
      </c>
      <c r="F336" s="2">
        <v>0</v>
      </c>
      <c r="G336" s="2">
        <v>0.64617867647058824</v>
      </c>
      <c r="H336" s="7">
        <v>0</v>
      </c>
    </row>
    <row r="337" spans="1:8" x14ac:dyDescent="0.3">
      <c r="A337">
        <v>336</v>
      </c>
      <c r="B337" s="2">
        <v>21.751731735012189</v>
      </c>
      <c r="C337" s="2">
        <v>2.0405227297337301</v>
      </c>
      <c r="D337" s="2">
        <v>5.5012933943876092</v>
      </c>
      <c r="E337" s="2">
        <v>0.46903277777777769</v>
      </c>
      <c r="F337" s="2">
        <v>0</v>
      </c>
      <c r="G337" s="2">
        <v>0.20007205882352941</v>
      </c>
      <c r="H337" s="7">
        <v>0</v>
      </c>
    </row>
    <row r="338" spans="1:8" x14ac:dyDescent="0.3">
      <c r="A338">
        <v>337</v>
      </c>
      <c r="B338" s="2">
        <v>23.15946109195119</v>
      </c>
      <c r="C338" s="2">
        <v>1.9626487981233161</v>
      </c>
      <c r="D338" s="2">
        <v>5.2474297680564259</v>
      </c>
      <c r="E338" s="2">
        <v>0.48110688888888881</v>
      </c>
      <c r="F338" s="2">
        <v>3.5354676258992808E-3</v>
      </c>
      <c r="G338" s="2">
        <v>0.32714485294117651</v>
      </c>
      <c r="H338" s="7">
        <v>0</v>
      </c>
    </row>
    <row r="339" spans="1:8" x14ac:dyDescent="0.3">
      <c r="A339">
        <v>338</v>
      </c>
      <c r="B339" s="2">
        <v>24.339838853215529</v>
      </c>
      <c r="C339" s="2">
        <v>2.0946958995496701</v>
      </c>
      <c r="D339" s="2">
        <v>5.0182663864493602</v>
      </c>
      <c r="E339" s="2">
        <v>0.50618388888888899</v>
      </c>
      <c r="F339" s="2">
        <v>5.8924460431654668E-3</v>
      </c>
      <c r="G339" s="2">
        <v>0.4704397058823529</v>
      </c>
      <c r="H339" s="7">
        <v>0</v>
      </c>
    </row>
    <row r="340" spans="1:8" x14ac:dyDescent="0.3">
      <c r="A340">
        <v>339</v>
      </c>
      <c r="B340" s="2">
        <v>24.53546697042394</v>
      </c>
      <c r="C340" s="2">
        <v>1.990863990735785</v>
      </c>
      <c r="D340" s="2">
        <v>4.6656017812217181</v>
      </c>
      <c r="E340" s="2">
        <v>0.45881622222222218</v>
      </c>
      <c r="F340" s="2">
        <v>7.0709352517985616E-3</v>
      </c>
      <c r="G340" s="2">
        <v>0.55695735294117643</v>
      </c>
      <c r="H340" s="7">
        <v>0</v>
      </c>
    </row>
    <row r="341" spans="1:8" x14ac:dyDescent="0.3">
      <c r="A341">
        <v>340</v>
      </c>
      <c r="B341" s="2">
        <v>23.797896096084081</v>
      </c>
      <c r="C341" s="2">
        <v>2.0642234915282032</v>
      </c>
      <c r="D341" s="2">
        <v>4.3033315252680326</v>
      </c>
      <c r="E341" s="2">
        <v>0.43745433333333328</v>
      </c>
      <c r="F341" s="2">
        <v>9.4279136690647494E-3</v>
      </c>
      <c r="G341" s="2">
        <v>0.54884632352941176</v>
      </c>
      <c r="H341" s="7">
        <v>0</v>
      </c>
    </row>
    <row r="342" spans="1:8" x14ac:dyDescent="0.3">
      <c r="A342">
        <v>341</v>
      </c>
      <c r="B342" s="2">
        <v>23.102623193032532</v>
      </c>
      <c r="C342" s="2">
        <v>2.160155146410597</v>
      </c>
      <c r="D342" s="2">
        <v>4.074168143660966</v>
      </c>
      <c r="E342" s="2">
        <v>0.42352266666666671</v>
      </c>
      <c r="F342" s="2">
        <v>2.3569784172661871E-2</v>
      </c>
      <c r="G342" s="2">
        <v>0.51910588235294131</v>
      </c>
      <c r="H342" s="7">
        <v>0</v>
      </c>
    </row>
    <row r="343" spans="1:8" x14ac:dyDescent="0.3">
      <c r="A343">
        <v>342</v>
      </c>
      <c r="B343" s="2">
        <v>22.798606524397812</v>
      </c>
      <c r="C343" s="2">
        <v>2.645456459345056</v>
      </c>
      <c r="D343" s="2">
        <v>4.0096730602146664</v>
      </c>
      <c r="E343" s="2">
        <v>0.4003032222222222</v>
      </c>
      <c r="F343" s="2">
        <v>1.178489208633093E-2</v>
      </c>
      <c r="G343" s="2">
        <v>0.49477279411764707</v>
      </c>
      <c r="H343" s="7">
        <v>0</v>
      </c>
    </row>
    <row r="344" spans="1:8" x14ac:dyDescent="0.3">
      <c r="A344">
        <v>343</v>
      </c>
      <c r="B344" s="2">
        <v>22.932109496276539</v>
      </c>
      <c r="C344" s="2">
        <v>3.484011983787624</v>
      </c>
      <c r="D344" s="2">
        <v>4.548961736691175</v>
      </c>
      <c r="E344" s="2">
        <v>0.44209822222222223</v>
      </c>
      <c r="F344" s="2">
        <v>1.5320359712230209E-2</v>
      </c>
      <c r="G344" s="2">
        <v>0.51369852941176475</v>
      </c>
      <c r="H344" s="7">
        <v>0</v>
      </c>
    </row>
    <row r="345" spans="1:8" x14ac:dyDescent="0.3">
      <c r="A345">
        <v>344</v>
      </c>
      <c r="B345" s="2">
        <v>19.795450562927972</v>
      </c>
      <c r="C345" s="2">
        <v>3.2063744884809342</v>
      </c>
      <c r="D345" s="2">
        <v>4.2182529045516359</v>
      </c>
      <c r="E345" s="2">
        <v>0.39937444444444448</v>
      </c>
      <c r="F345" s="2">
        <v>2.3569784172661871E-2</v>
      </c>
      <c r="G345" s="2">
        <v>0.41366249999999988</v>
      </c>
      <c r="H345" s="7">
        <v>0</v>
      </c>
    </row>
    <row r="346" spans="1:8" x14ac:dyDescent="0.3">
      <c r="A346">
        <v>345</v>
      </c>
      <c r="B346" s="2">
        <v>28.67670272186982</v>
      </c>
      <c r="C346" s="2">
        <v>4.0505730514459941</v>
      </c>
      <c r="D346" s="2">
        <v>6.0103928828679782</v>
      </c>
      <c r="E346" s="2">
        <v>0.43931188888888878</v>
      </c>
      <c r="F346" s="2">
        <v>2.828374100719425E-2</v>
      </c>
      <c r="G346" s="2">
        <v>0.39473676470588243</v>
      </c>
      <c r="H346" s="7">
        <v>0</v>
      </c>
    </row>
    <row r="347" spans="1:8" x14ac:dyDescent="0.3">
      <c r="A347">
        <v>346</v>
      </c>
      <c r="B347" s="2">
        <v>43.787652964617713</v>
      </c>
      <c r="C347" s="2">
        <v>4.8846141450705662</v>
      </c>
      <c r="D347" s="2">
        <v>7.8684001804486279</v>
      </c>
      <c r="E347" s="2">
        <v>0.57305588888888881</v>
      </c>
      <c r="F347" s="2">
        <v>3.0640719424460429E-2</v>
      </c>
      <c r="G347" s="2">
        <v>0.31092279411764701</v>
      </c>
      <c r="H347" s="7">
        <v>0</v>
      </c>
    </row>
    <row r="348" spans="1:8" x14ac:dyDescent="0.3">
      <c r="A348">
        <v>347</v>
      </c>
      <c r="B348" s="2">
        <v>38.939248005695461</v>
      </c>
      <c r="C348" s="2">
        <v>6.4770796161182957</v>
      </c>
      <c r="D348" s="2">
        <v>9.0512674555701338</v>
      </c>
      <c r="E348" s="2">
        <v>0.6250674444444444</v>
      </c>
      <c r="F348" s="2">
        <v>3.1819208633093517E-2</v>
      </c>
      <c r="G348" s="2">
        <v>0.29470073529411772</v>
      </c>
      <c r="H348" s="7">
        <v>0</v>
      </c>
    </row>
    <row r="349" spans="1:8" x14ac:dyDescent="0.3">
      <c r="A349">
        <v>348</v>
      </c>
      <c r="B349" s="2">
        <v>34.348596309311318</v>
      </c>
      <c r="C349" s="2">
        <v>6.9409373826672791</v>
      </c>
      <c r="D349" s="2">
        <v>8.9140438737694954</v>
      </c>
      <c r="E349" s="2">
        <v>0.6677912222222222</v>
      </c>
      <c r="F349" s="2">
        <v>3.7711654676258997E-2</v>
      </c>
      <c r="G349" s="2">
        <v>0.37581102941176481</v>
      </c>
      <c r="H349" s="7">
        <v>0</v>
      </c>
    </row>
    <row r="350" spans="1:8" x14ac:dyDescent="0.3">
      <c r="A350">
        <v>349</v>
      </c>
      <c r="B350" s="2">
        <v>31.55296476947473</v>
      </c>
      <c r="C350" s="2">
        <v>7.1711733543850231</v>
      </c>
      <c r="D350" s="2">
        <v>8.9963780228498784</v>
      </c>
      <c r="E350" s="2">
        <v>0.79410500000000006</v>
      </c>
      <c r="F350" s="2">
        <v>4.1247122302158282E-2</v>
      </c>
      <c r="G350" s="2">
        <v>0.32173750000000001</v>
      </c>
      <c r="H350" s="7">
        <v>0</v>
      </c>
    </row>
    <row r="351" spans="1:8" x14ac:dyDescent="0.3">
      <c r="A351">
        <v>350</v>
      </c>
      <c r="B351" s="2">
        <v>29.686566786378162</v>
      </c>
      <c r="C351" s="2">
        <v>7.6880756830454482</v>
      </c>
      <c r="D351" s="2">
        <v>11.23175017038229</v>
      </c>
      <c r="E351" s="2">
        <v>1.148898111111111</v>
      </c>
      <c r="F351" s="2">
        <v>4.4782589928057552E-2</v>
      </c>
      <c r="G351" s="2">
        <v>0.36229264705882352</v>
      </c>
      <c r="H351" s="7">
        <v>0</v>
      </c>
    </row>
    <row r="352" spans="1:8" x14ac:dyDescent="0.3">
      <c r="A352">
        <v>351</v>
      </c>
      <c r="B352" s="2">
        <v>31.260844405264852</v>
      </c>
      <c r="C352" s="2">
        <v>7.393509072171276</v>
      </c>
      <c r="D352" s="2">
        <v>11.90414572120542</v>
      </c>
      <c r="E352" s="2">
        <v>1.328152222222222</v>
      </c>
      <c r="F352" s="2">
        <v>5.4210503597122303E-2</v>
      </c>
      <c r="G352" s="2">
        <v>0.31092279411764701</v>
      </c>
      <c r="H352" s="7">
        <v>0</v>
      </c>
    </row>
    <row r="353" spans="1:8" x14ac:dyDescent="0.3">
      <c r="A353">
        <v>352</v>
      </c>
      <c r="B353" s="2">
        <v>29.210714609384709</v>
      </c>
      <c r="C353" s="2">
        <v>6.3913054305763906</v>
      </c>
      <c r="D353" s="2">
        <v>10.568960270285199</v>
      </c>
      <c r="E353" s="2">
        <v>1.201838444444445</v>
      </c>
      <c r="F353" s="2">
        <v>7.6601798561151083E-2</v>
      </c>
      <c r="G353" s="2">
        <v>0.32444117647058829</v>
      </c>
      <c r="H353" s="7">
        <v>0</v>
      </c>
    </row>
    <row r="354" spans="1:8" x14ac:dyDescent="0.3">
      <c r="A354">
        <v>353</v>
      </c>
      <c r="B354" s="2">
        <v>28.674059098664291</v>
      </c>
      <c r="C354" s="2">
        <v>5.641909914789224</v>
      </c>
      <c r="D354" s="2">
        <v>9.4780327949701206</v>
      </c>
      <c r="E354" s="2">
        <v>1.043946222222222</v>
      </c>
      <c r="F354" s="2">
        <v>7.8958776978417272E-2</v>
      </c>
      <c r="G354" s="2">
        <v>0.30010808823529411</v>
      </c>
      <c r="H354" s="7">
        <v>0</v>
      </c>
    </row>
    <row r="355" spans="1:8" x14ac:dyDescent="0.3">
      <c r="A355">
        <v>354</v>
      </c>
      <c r="B355" s="2">
        <v>27.584886337990369</v>
      </c>
      <c r="C355" s="2">
        <v>5.181437971353736</v>
      </c>
      <c r="D355" s="2">
        <v>8.5847072774479631</v>
      </c>
      <c r="E355" s="2">
        <v>0.87119355555555544</v>
      </c>
      <c r="F355" s="2">
        <v>0.13906172661870511</v>
      </c>
      <c r="G355" s="2">
        <v>0.28658970588235289</v>
      </c>
      <c r="H355" s="7">
        <v>0</v>
      </c>
    </row>
    <row r="356" spans="1:8" x14ac:dyDescent="0.3">
      <c r="A356">
        <v>355</v>
      </c>
      <c r="B356" s="2">
        <v>26.305372706519069</v>
      </c>
      <c r="C356" s="2">
        <v>4.8507559139356031</v>
      </c>
      <c r="D356" s="2">
        <v>7.6804038733817537</v>
      </c>
      <c r="E356" s="2">
        <v>0.72537544444444446</v>
      </c>
      <c r="F356" s="2">
        <v>0.10017158273381289</v>
      </c>
      <c r="G356" s="2">
        <v>0.29470073529411772</v>
      </c>
      <c r="H356" s="7">
        <v>0</v>
      </c>
    </row>
    <row r="357" spans="1:8" x14ac:dyDescent="0.3">
      <c r="A357">
        <v>356</v>
      </c>
      <c r="B357" s="2">
        <v>24.875172552333169</v>
      </c>
      <c r="C357" s="2">
        <v>4.5686039878109179</v>
      </c>
      <c r="D357" s="2">
        <v>6.9764468987444754</v>
      </c>
      <c r="E357" s="2">
        <v>0.64457177777777763</v>
      </c>
      <c r="F357" s="2">
        <v>7.0709352517985602E-2</v>
      </c>
      <c r="G357" s="2">
        <v>0.30821911764705878</v>
      </c>
      <c r="H357" s="7">
        <v>0</v>
      </c>
    </row>
    <row r="358" spans="1:8" x14ac:dyDescent="0.3">
      <c r="A358">
        <v>357</v>
      </c>
      <c r="B358" s="2">
        <v>23.725196457932299</v>
      </c>
      <c r="C358" s="2">
        <v>4.1307041984654056</v>
      </c>
      <c r="D358" s="2">
        <v>6.5098867206223039</v>
      </c>
      <c r="E358" s="2">
        <v>0.59163144444444449</v>
      </c>
      <c r="F358" s="2">
        <v>6.4816906474820149E-2</v>
      </c>
      <c r="G358" s="2">
        <v>0.33525588235294129</v>
      </c>
      <c r="H358" s="7">
        <v>0</v>
      </c>
    </row>
    <row r="359" spans="1:8" x14ac:dyDescent="0.3">
      <c r="A359">
        <v>358</v>
      </c>
      <c r="B359" s="2">
        <v>23.019349062058669</v>
      </c>
      <c r="C359" s="2">
        <v>3.8124368257967598</v>
      </c>
      <c r="D359" s="2">
        <v>6.2162282555689394</v>
      </c>
      <c r="E359" s="2">
        <v>0.56376811111111114</v>
      </c>
      <c r="F359" s="2">
        <v>5.8924460431654682E-2</v>
      </c>
      <c r="G359" s="2">
        <v>0.35418161764705891</v>
      </c>
      <c r="H359" s="7">
        <v>0</v>
      </c>
    </row>
    <row r="360" spans="1:8" x14ac:dyDescent="0.3">
      <c r="A360">
        <v>359</v>
      </c>
      <c r="B360" s="2">
        <v>22.335972463431951</v>
      </c>
      <c r="C360" s="2">
        <v>3.5652717385115329</v>
      </c>
      <c r="D360" s="2">
        <v>5.9170808472435459</v>
      </c>
      <c r="E360" s="2">
        <v>0.53961988888888879</v>
      </c>
      <c r="F360" s="2">
        <v>5.7745971223021567E-2</v>
      </c>
      <c r="G360" s="2">
        <v>0.35958897058823541</v>
      </c>
      <c r="H360" s="7">
        <v>0</v>
      </c>
    </row>
    <row r="361" spans="1:8" x14ac:dyDescent="0.3">
      <c r="A361">
        <v>360</v>
      </c>
      <c r="B361" s="2">
        <v>21.26927050000495</v>
      </c>
      <c r="C361" s="2">
        <v>3.403880836768213</v>
      </c>
      <c r="D361" s="2">
        <v>5.4916877436615632</v>
      </c>
      <c r="E361" s="2">
        <v>0.49968244444444437</v>
      </c>
      <c r="F361" s="2">
        <v>5.8924460431654682E-2</v>
      </c>
      <c r="G361" s="2">
        <v>0.32984852941176479</v>
      </c>
      <c r="H361" s="7">
        <v>0</v>
      </c>
    </row>
    <row r="362" spans="1:8" x14ac:dyDescent="0.3">
      <c r="A362">
        <v>361</v>
      </c>
      <c r="B362" s="2">
        <v>25.062869799925039</v>
      </c>
      <c r="C362" s="2">
        <v>5.7209124541041358</v>
      </c>
      <c r="D362" s="2">
        <v>7.1356262536332169</v>
      </c>
      <c r="E362" s="2">
        <v>0.52940333333333334</v>
      </c>
      <c r="F362" s="2">
        <v>6.3638417266187047E-2</v>
      </c>
      <c r="G362" s="2">
        <v>0.1162580882352941</v>
      </c>
      <c r="H362" s="7">
        <v>0</v>
      </c>
    </row>
    <row r="363" spans="1:8" x14ac:dyDescent="0.3">
      <c r="A363">
        <v>362</v>
      </c>
      <c r="B363" s="2">
        <v>29.16973844969915</v>
      </c>
      <c r="C363" s="2">
        <v>7.4126954031477537</v>
      </c>
      <c r="D363" s="2">
        <v>11.194699803296119</v>
      </c>
      <c r="E363" s="2">
        <v>0.8349712222222222</v>
      </c>
      <c r="F363" s="2">
        <v>6.7173884892086325E-2</v>
      </c>
      <c r="G363" s="2">
        <v>0.32984852941176479</v>
      </c>
      <c r="H363" s="7">
        <v>0</v>
      </c>
    </row>
    <row r="364" spans="1:8" x14ac:dyDescent="0.3">
      <c r="A364">
        <v>363</v>
      </c>
      <c r="B364" s="2">
        <v>28.09907105146387</v>
      </c>
      <c r="C364" s="2">
        <v>7.2682336169719148</v>
      </c>
      <c r="D364" s="2">
        <v>11.739477423044651</v>
      </c>
      <c r="E364" s="2">
        <v>1.0978153333333329</v>
      </c>
      <c r="F364" s="2">
        <v>7.3066330935251791E-2</v>
      </c>
      <c r="G364" s="2">
        <v>0.38932941176470592</v>
      </c>
      <c r="H364" s="7">
        <v>0</v>
      </c>
    </row>
    <row r="365" spans="1:8" x14ac:dyDescent="0.3">
      <c r="A365">
        <v>364</v>
      </c>
      <c r="B365" s="2">
        <v>25.970954371020881</v>
      </c>
      <c r="C365" s="2">
        <v>6.3382608684649488</v>
      </c>
      <c r="D365" s="2">
        <v>10.501720715202881</v>
      </c>
      <c r="E365" s="2">
        <v>1.0151541111111111</v>
      </c>
      <c r="F365" s="2">
        <v>8.4851223021582725E-2</v>
      </c>
      <c r="G365" s="2">
        <v>0.46232867647058828</v>
      </c>
      <c r="H365" s="7">
        <v>0</v>
      </c>
    </row>
    <row r="366" spans="1:8" x14ac:dyDescent="0.3">
      <c r="A366">
        <v>365</v>
      </c>
      <c r="B366" s="2">
        <v>25.009997335814649</v>
      </c>
      <c r="C366" s="2">
        <v>6.1114107198607011</v>
      </c>
      <c r="D366" s="2">
        <v>9.5507612933244594</v>
      </c>
      <c r="E366" s="2">
        <v>0.92784900000000003</v>
      </c>
      <c r="F366" s="2">
        <v>9.3100647482014381E-2</v>
      </c>
      <c r="G366" s="2">
        <v>0.448810294117647</v>
      </c>
      <c r="H366" s="7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DF29-60C7-486F-84D1-2EA5C70D3E34}">
  <dimension ref="A1:H54"/>
  <sheetViews>
    <sheetView workbookViewId="0">
      <selection activeCell="B2" sqref="B2:D14"/>
    </sheetView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s="2">
        <v>28.67353266666667</v>
      </c>
      <c r="C2">
        <v>0</v>
      </c>
      <c r="D2" s="1">
        <v>4.8748487562189062</v>
      </c>
      <c r="E2">
        <v>0</v>
      </c>
      <c r="F2">
        <v>0</v>
      </c>
      <c r="G2">
        <v>0</v>
      </c>
    </row>
    <row r="3" spans="1:8" x14ac:dyDescent="0.3">
      <c r="A3">
        <v>2</v>
      </c>
      <c r="B3" s="2">
        <v>23.407394969261478</v>
      </c>
      <c r="C3">
        <v>0</v>
      </c>
      <c r="D3" s="2">
        <v>4.7905771144278608</v>
      </c>
      <c r="E3">
        <v>0</v>
      </c>
      <c r="F3">
        <v>0</v>
      </c>
      <c r="G3">
        <v>0</v>
      </c>
    </row>
    <row r="4" spans="1:8" x14ac:dyDescent="0.3">
      <c r="A4">
        <v>3</v>
      </c>
      <c r="B4" s="2">
        <v>30.742768093413179</v>
      </c>
      <c r="C4">
        <v>0</v>
      </c>
      <c r="D4" s="2">
        <v>5.1997880597014916</v>
      </c>
      <c r="E4">
        <v>0</v>
      </c>
      <c r="F4">
        <v>0</v>
      </c>
      <c r="G4">
        <v>0</v>
      </c>
    </row>
    <row r="5" spans="1:8" x14ac:dyDescent="0.3">
      <c r="A5">
        <v>4</v>
      </c>
      <c r="B5" s="2">
        <v>22.387177716566871</v>
      </c>
      <c r="C5">
        <v>0</v>
      </c>
      <c r="D5" s="2">
        <v>2.0285930348258709</v>
      </c>
      <c r="E5">
        <v>0</v>
      </c>
      <c r="F5">
        <v>0</v>
      </c>
      <c r="G5">
        <v>0</v>
      </c>
    </row>
    <row r="6" spans="1:8" x14ac:dyDescent="0.3">
      <c r="A6">
        <v>5</v>
      </c>
      <c r="B6" s="2">
        <v>12.604834004790421</v>
      </c>
      <c r="C6">
        <v>0</v>
      </c>
      <c r="D6" s="2">
        <v>22.55215422885572</v>
      </c>
      <c r="E6">
        <v>0</v>
      </c>
      <c r="F6">
        <v>0</v>
      </c>
      <c r="G6">
        <v>0</v>
      </c>
    </row>
    <row r="7" spans="1:8" x14ac:dyDescent="0.3">
      <c r="A7">
        <v>6</v>
      </c>
      <c r="B7" s="2">
        <v>22.125753968862281</v>
      </c>
      <c r="C7">
        <v>0</v>
      </c>
      <c r="D7" s="2">
        <v>11.218757213930351</v>
      </c>
      <c r="E7">
        <v>0</v>
      </c>
      <c r="F7">
        <v>0</v>
      </c>
      <c r="G7">
        <v>0</v>
      </c>
    </row>
    <row r="8" spans="1:8" x14ac:dyDescent="0.3">
      <c r="A8">
        <v>7</v>
      </c>
      <c r="B8" s="2">
        <v>15.20688647664671</v>
      </c>
      <c r="C8">
        <v>0</v>
      </c>
      <c r="D8" s="2">
        <v>12.918614925373131</v>
      </c>
      <c r="E8">
        <v>0</v>
      </c>
      <c r="F8">
        <v>0</v>
      </c>
      <c r="G8">
        <v>0</v>
      </c>
    </row>
    <row r="9" spans="1:8" x14ac:dyDescent="0.3">
      <c r="A9">
        <v>8</v>
      </c>
      <c r="B9" s="2">
        <v>8.0398879696606791</v>
      </c>
      <c r="C9">
        <v>0</v>
      </c>
      <c r="D9" s="2">
        <v>5.3956626865671646</v>
      </c>
      <c r="E9">
        <v>0</v>
      </c>
      <c r="F9">
        <v>0</v>
      </c>
      <c r="G9">
        <v>0</v>
      </c>
    </row>
    <row r="10" spans="1:8" x14ac:dyDescent="0.3">
      <c r="A10">
        <v>9</v>
      </c>
      <c r="B10" s="2">
        <v>8.4353467744510979</v>
      </c>
      <c r="C10">
        <v>0</v>
      </c>
      <c r="D10" s="2">
        <v>4.2242109452736321</v>
      </c>
      <c r="E10">
        <v>0</v>
      </c>
      <c r="F10">
        <v>0</v>
      </c>
      <c r="G10">
        <v>0</v>
      </c>
    </row>
    <row r="11" spans="1:8" x14ac:dyDescent="0.3">
      <c r="A11">
        <v>10</v>
      </c>
      <c r="B11" s="2">
        <v>8.0919511736526939</v>
      </c>
      <c r="C11">
        <v>0</v>
      </c>
      <c r="D11" s="2">
        <v>10.269752238805969</v>
      </c>
      <c r="E11">
        <v>0</v>
      </c>
      <c r="F11">
        <v>0</v>
      </c>
      <c r="G11">
        <v>0</v>
      </c>
    </row>
    <row r="12" spans="1:8" x14ac:dyDescent="0.3">
      <c r="A12">
        <v>11</v>
      </c>
      <c r="B12" s="2">
        <v>11.875949148902199</v>
      </c>
      <c r="C12">
        <v>0</v>
      </c>
      <c r="D12" s="2">
        <v>8.3216348258706478</v>
      </c>
      <c r="E12">
        <v>0</v>
      </c>
      <c r="F12">
        <v>0</v>
      </c>
      <c r="G12">
        <v>0</v>
      </c>
    </row>
    <row r="13" spans="1:8" x14ac:dyDescent="0.3">
      <c r="A13">
        <v>12</v>
      </c>
      <c r="B13" s="2">
        <v>14.75604128463074</v>
      </c>
      <c r="C13">
        <v>0</v>
      </c>
      <c r="D13" s="2">
        <v>4.8763671641791051</v>
      </c>
      <c r="E13">
        <v>0</v>
      </c>
      <c r="F13">
        <v>0</v>
      </c>
      <c r="G13">
        <v>0</v>
      </c>
    </row>
    <row r="14" spans="1:8" x14ac:dyDescent="0.3">
      <c r="A14">
        <v>13</v>
      </c>
      <c r="B14" s="2">
        <v>19.576872428742519</v>
      </c>
      <c r="C14">
        <v>0</v>
      </c>
      <c r="D14" s="2">
        <v>8.4894189054726379</v>
      </c>
      <c r="E14">
        <v>0</v>
      </c>
      <c r="F14">
        <v>0</v>
      </c>
      <c r="G14">
        <v>0</v>
      </c>
    </row>
    <row r="15" spans="1:8" x14ac:dyDescent="0.3">
      <c r="A15">
        <v>14</v>
      </c>
      <c r="B15" s="2">
        <v>21.07452033932136</v>
      </c>
      <c r="C15">
        <v>0</v>
      </c>
      <c r="D15" s="2">
        <v>9.7496975124378125</v>
      </c>
      <c r="E15">
        <v>0</v>
      </c>
      <c r="F15">
        <v>0</v>
      </c>
      <c r="G15">
        <v>0</v>
      </c>
    </row>
    <row r="16" spans="1:8" x14ac:dyDescent="0.3">
      <c r="A16">
        <v>15</v>
      </c>
      <c r="B16" s="2">
        <v>16.577145696606792</v>
      </c>
      <c r="C16">
        <v>0</v>
      </c>
      <c r="D16" s="2">
        <v>7.2913950248756212</v>
      </c>
      <c r="E16">
        <v>0</v>
      </c>
      <c r="F16">
        <v>0</v>
      </c>
      <c r="G16">
        <v>0</v>
      </c>
    </row>
    <row r="17" spans="1:7" x14ac:dyDescent="0.3">
      <c r="A17">
        <v>16</v>
      </c>
      <c r="B17" s="2">
        <v>16.343415142514971</v>
      </c>
      <c r="C17">
        <v>0</v>
      </c>
      <c r="D17" s="2">
        <v>0</v>
      </c>
      <c r="E17">
        <v>0</v>
      </c>
      <c r="F17">
        <v>0</v>
      </c>
      <c r="G17">
        <v>0</v>
      </c>
    </row>
    <row r="18" spans="1:7" x14ac:dyDescent="0.3">
      <c r="A18">
        <v>17</v>
      </c>
      <c r="B18" s="2">
        <v>20.196092237924152</v>
      </c>
      <c r="C18">
        <v>0</v>
      </c>
      <c r="D18" s="2">
        <v>0</v>
      </c>
      <c r="E18">
        <v>0</v>
      </c>
      <c r="F18">
        <v>0</v>
      </c>
      <c r="G18">
        <v>0</v>
      </c>
    </row>
    <row r="19" spans="1:7" x14ac:dyDescent="0.3">
      <c r="A19">
        <v>18</v>
      </c>
      <c r="B19" s="2">
        <v>23.71866646546906</v>
      </c>
      <c r="C19">
        <v>0</v>
      </c>
      <c r="D19" s="2">
        <v>1.1911910447761189</v>
      </c>
      <c r="E19">
        <v>0</v>
      </c>
      <c r="F19">
        <v>0</v>
      </c>
      <c r="G19">
        <v>0</v>
      </c>
    </row>
    <row r="20" spans="1:7" x14ac:dyDescent="0.3">
      <c r="A20">
        <v>19</v>
      </c>
      <c r="B20" s="2">
        <v>27.02080287185629</v>
      </c>
      <c r="C20">
        <v>0</v>
      </c>
      <c r="D20" s="2">
        <v>0</v>
      </c>
      <c r="E20">
        <v>0</v>
      </c>
      <c r="F20">
        <v>0</v>
      </c>
      <c r="G20">
        <v>0</v>
      </c>
    </row>
    <row r="21" spans="1:7" x14ac:dyDescent="0.3">
      <c r="A21">
        <v>20</v>
      </c>
      <c r="B21" s="2">
        <v>41.126607970459077</v>
      </c>
      <c r="C21">
        <v>0</v>
      </c>
      <c r="D21" s="2">
        <v>0</v>
      </c>
      <c r="E21">
        <v>0</v>
      </c>
      <c r="F21">
        <v>0</v>
      </c>
      <c r="G21">
        <v>0</v>
      </c>
    </row>
    <row r="22" spans="1:7" x14ac:dyDescent="0.3">
      <c r="A22">
        <v>21</v>
      </c>
      <c r="B22" s="2">
        <v>51.044094467065868</v>
      </c>
      <c r="C22">
        <v>0</v>
      </c>
      <c r="D22" s="2">
        <v>0</v>
      </c>
      <c r="E22">
        <v>0</v>
      </c>
      <c r="F22">
        <v>0</v>
      </c>
      <c r="G22">
        <v>0</v>
      </c>
    </row>
    <row r="23" spans="1:7" x14ac:dyDescent="0.3">
      <c r="A23">
        <v>22</v>
      </c>
      <c r="B23" s="2">
        <v>59.671078141317373</v>
      </c>
      <c r="C23">
        <v>0</v>
      </c>
      <c r="D23" s="2">
        <v>1.2435761194029851</v>
      </c>
      <c r="E23">
        <v>0</v>
      </c>
      <c r="F23">
        <v>0</v>
      </c>
      <c r="G23">
        <v>0</v>
      </c>
    </row>
    <row r="24" spans="1:7" x14ac:dyDescent="0.3">
      <c r="A24">
        <v>23</v>
      </c>
      <c r="B24" s="2">
        <v>64.064326376047916</v>
      </c>
      <c r="C24">
        <v>0</v>
      </c>
      <c r="D24" s="2">
        <v>7.3141711442786077</v>
      </c>
      <c r="E24">
        <v>0</v>
      </c>
      <c r="F24">
        <v>0</v>
      </c>
      <c r="G24">
        <v>0</v>
      </c>
    </row>
    <row r="25" spans="1:7" x14ac:dyDescent="0.3">
      <c r="A25">
        <v>24</v>
      </c>
      <c r="B25" s="2">
        <v>65.507695627145708</v>
      </c>
      <c r="C25">
        <v>0</v>
      </c>
      <c r="D25" s="2">
        <v>5.6325343283582088</v>
      </c>
      <c r="E25">
        <v>0</v>
      </c>
      <c r="F25">
        <v>0</v>
      </c>
      <c r="G25">
        <v>0</v>
      </c>
    </row>
    <row r="26" spans="1:7" x14ac:dyDescent="0.3">
      <c r="A26">
        <v>25</v>
      </c>
      <c r="B26" s="2">
        <v>65.543142914970062</v>
      </c>
      <c r="C26">
        <v>0</v>
      </c>
      <c r="D26" s="2">
        <v>2.8735870646766171</v>
      </c>
      <c r="E26">
        <v>0</v>
      </c>
      <c r="F26">
        <v>0</v>
      </c>
      <c r="G26">
        <v>0</v>
      </c>
    </row>
    <row r="27" spans="1:7" x14ac:dyDescent="0.3">
      <c r="A27">
        <v>26</v>
      </c>
      <c r="B27" s="2">
        <v>67.448434635528955</v>
      </c>
      <c r="C27">
        <v>0</v>
      </c>
      <c r="D27" s="2">
        <v>0.79716417910447768</v>
      </c>
      <c r="E27">
        <v>0</v>
      </c>
      <c r="F27">
        <v>0</v>
      </c>
      <c r="G27">
        <v>0</v>
      </c>
    </row>
    <row r="28" spans="1:7" x14ac:dyDescent="0.3">
      <c r="A28">
        <v>27</v>
      </c>
      <c r="B28" s="2">
        <v>62.976537730938126</v>
      </c>
      <c r="C28">
        <v>0</v>
      </c>
      <c r="D28" s="2">
        <v>1.8198119402985069</v>
      </c>
      <c r="E28">
        <v>0</v>
      </c>
      <c r="F28">
        <v>0</v>
      </c>
      <c r="G28">
        <v>0</v>
      </c>
    </row>
    <row r="29" spans="1:7" x14ac:dyDescent="0.3">
      <c r="A29">
        <v>28</v>
      </c>
      <c r="B29" s="2">
        <v>54.469188653093809</v>
      </c>
      <c r="C29">
        <v>0</v>
      </c>
      <c r="D29" s="2">
        <v>0.96342985074626863</v>
      </c>
      <c r="E29">
        <v>0</v>
      </c>
      <c r="F29">
        <v>0</v>
      </c>
      <c r="G29">
        <v>0</v>
      </c>
    </row>
    <row r="30" spans="1:7" x14ac:dyDescent="0.3">
      <c r="A30">
        <v>29</v>
      </c>
      <c r="B30" s="2">
        <v>50.556694259481041</v>
      </c>
      <c r="C30">
        <v>0</v>
      </c>
      <c r="D30" s="2">
        <v>1.7727412935323379</v>
      </c>
      <c r="E30">
        <v>0</v>
      </c>
      <c r="F30">
        <v>0</v>
      </c>
      <c r="G30">
        <v>0</v>
      </c>
    </row>
    <row r="31" spans="1:7" x14ac:dyDescent="0.3">
      <c r="A31">
        <v>30</v>
      </c>
      <c r="B31" s="2">
        <v>47.620108008782438</v>
      </c>
      <c r="C31">
        <v>0</v>
      </c>
      <c r="D31" s="2">
        <v>1.7628716417910451</v>
      </c>
      <c r="E31">
        <v>0</v>
      </c>
      <c r="F31">
        <v>0</v>
      </c>
      <c r="G31">
        <v>0</v>
      </c>
    </row>
    <row r="32" spans="1:7" x14ac:dyDescent="0.3">
      <c r="A32">
        <v>31</v>
      </c>
      <c r="B32" s="2">
        <v>47.114984157285427</v>
      </c>
      <c r="C32">
        <v>0</v>
      </c>
      <c r="D32" s="2">
        <v>3.8415721393034818</v>
      </c>
      <c r="E32">
        <v>0</v>
      </c>
      <c r="F32">
        <v>0</v>
      </c>
      <c r="G32">
        <v>0</v>
      </c>
    </row>
    <row r="33" spans="1:7" x14ac:dyDescent="0.3">
      <c r="A33">
        <v>32</v>
      </c>
      <c r="B33" s="2">
        <v>53.292781788423163</v>
      </c>
      <c r="C33">
        <v>0</v>
      </c>
      <c r="D33" s="2">
        <v>1.971652736318408</v>
      </c>
      <c r="E33">
        <v>0</v>
      </c>
      <c r="F33">
        <v>0</v>
      </c>
      <c r="G33">
        <v>0</v>
      </c>
    </row>
    <row r="34" spans="1:7" x14ac:dyDescent="0.3">
      <c r="A34">
        <v>33</v>
      </c>
      <c r="B34" s="2">
        <v>51.072895388423163</v>
      </c>
      <c r="C34">
        <v>0</v>
      </c>
      <c r="D34" s="2">
        <v>2.057442786069652</v>
      </c>
      <c r="E34">
        <v>0</v>
      </c>
      <c r="F34">
        <v>0</v>
      </c>
      <c r="G34">
        <v>0</v>
      </c>
    </row>
    <row r="35" spans="1:7" x14ac:dyDescent="0.3">
      <c r="A35">
        <v>34</v>
      </c>
      <c r="B35" s="2">
        <v>47.923625410778442</v>
      </c>
      <c r="C35">
        <v>0</v>
      </c>
      <c r="D35" s="2">
        <v>2.8781422885572141</v>
      </c>
      <c r="E35">
        <v>0</v>
      </c>
      <c r="F35">
        <v>0</v>
      </c>
      <c r="G35">
        <v>0</v>
      </c>
    </row>
    <row r="36" spans="1:7" x14ac:dyDescent="0.3">
      <c r="A36">
        <v>35</v>
      </c>
      <c r="B36" s="2">
        <v>54.248750831936128</v>
      </c>
      <c r="C36">
        <v>0</v>
      </c>
      <c r="D36" s="2">
        <v>3.1818238805970149</v>
      </c>
      <c r="E36">
        <v>0</v>
      </c>
      <c r="F36">
        <v>0</v>
      </c>
      <c r="G36">
        <v>0</v>
      </c>
    </row>
    <row r="37" spans="1:7" x14ac:dyDescent="0.3">
      <c r="A37">
        <v>36</v>
      </c>
      <c r="B37" s="2">
        <v>40.082020707385233</v>
      </c>
      <c r="C37">
        <v>0</v>
      </c>
      <c r="D37" s="2">
        <v>3.626717412935323</v>
      </c>
      <c r="E37">
        <v>0</v>
      </c>
      <c r="F37">
        <v>0</v>
      </c>
      <c r="G37">
        <v>0</v>
      </c>
    </row>
    <row r="38" spans="1:7" x14ac:dyDescent="0.3">
      <c r="A38">
        <v>37</v>
      </c>
      <c r="B38" s="2">
        <v>85.955242063073868</v>
      </c>
      <c r="C38">
        <v>0</v>
      </c>
      <c r="D38" s="2">
        <v>2.9608955223880602</v>
      </c>
      <c r="E38">
        <v>0</v>
      </c>
      <c r="F38">
        <v>0</v>
      </c>
      <c r="G38">
        <v>0</v>
      </c>
    </row>
    <row r="39" spans="1:7" x14ac:dyDescent="0.3">
      <c r="A39">
        <v>38</v>
      </c>
      <c r="B39" s="2">
        <v>60.439841196007983</v>
      </c>
      <c r="C39">
        <v>0</v>
      </c>
      <c r="D39" s="2">
        <v>8.6830159203980095</v>
      </c>
      <c r="E39">
        <v>0</v>
      </c>
      <c r="F39">
        <v>0</v>
      </c>
      <c r="G39">
        <v>0</v>
      </c>
    </row>
    <row r="40" spans="1:7" x14ac:dyDescent="0.3">
      <c r="A40">
        <v>39</v>
      </c>
      <c r="B40" s="2">
        <v>43.693213154491033</v>
      </c>
      <c r="C40">
        <v>0</v>
      </c>
      <c r="D40" s="2">
        <v>8.112094527363185</v>
      </c>
      <c r="E40">
        <v>0</v>
      </c>
      <c r="F40">
        <v>0</v>
      </c>
      <c r="G40">
        <v>0</v>
      </c>
    </row>
    <row r="41" spans="1:7" x14ac:dyDescent="0.3">
      <c r="A41">
        <v>40</v>
      </c>
      <c r="B41" s="2">
        <v>32.311310579640718</v>
      </c>
      <c r="C41">
        <v>0</v>
      </c>
      <c r="D41" s="2">
        <v>11.679594029850749</v>
      </c>
      <c r="E41">
        <v>0</v>
      </c>
      <c r="F41">
        <v>0</v>
      </c>
      <c r="G41">
        <v>0</v>
      </c>
    </row>
    <row r="42" spans="1:7" x14ac:dyDescent="0.3">
      <c r="A42">
        <v>41</v>
      </c>
      <c r="B42" s="2">
        <v>28.251488396007989</v>
      </c>
      <c r="C42">
        <v>0</v>
      </c>
      <c r="D42" s="2">
        <v>6.9550676616915421</v>
      </c>
      <c r="E42">
        <v>0</v>
      </c>
      <c r="F42">
        <v>0</v>
      </c>
      <c r="G42">
        <v>0</v>
      </c>
    </row>
    <row r="43" spans="1:7" x14ac:dyDescent="0.3">
      <c r="A43">
        <v>42</v>
      </c>
      <c r="B43" s="2">
        <v>27.921385528143709</v>
      </c>
      <c r="C43">
        <v>0</v>
      </c>
      <c r="D43" s="2">
        <v>6.4638626865671638</v>
      </c>
      <c r="E43">
        <v>0</v>
      </c>
      <c r="F43">
        <v>0</v>
      </c>
      <c r="G43">
        <v>0</v>
      </c>
    </row>
    <row r="44" spans="1:7" x14ac:dyDescent="0.3">
      <c r="A44">
        <v>43</v>
      </c>
      <c r="B44" s="2">
        <v>20.964855292614772</v>
      </c>
      <c r="C44">
        <v>0</v>
      </c>
      <c r="D44" s="2">
        <v>7.2382507462686574</v>
      </c>
      <c r="E44">
        <v>0</v>
      </c>
      <c r="F44">
        <v>0</v>
      </c>
      <c r="G44">
        <v>0</v>
      </c>
    </row>
    <row r="45" spans="1:7" x14ac:dyDescent="0.3">
      <c r="A45">
        <v>44</v>
      </c>
      <c r="B45" s="2">
        <v>27.03741878802396</v>
      </c>
      <c r="C45">
        <v>0</v>
      </c>
      <c r="D45" s="2">
        <v>6.797153233830846</v>
      </c>
      <c r="E45">
        <v>0</v>
      </c>
      <c r="F45">
        <v>0</v>
      </c>
      <c r="G45">
        <v>0</v>
      </c>
    </row>
    <row r="46" spans="1:7" x14ac:dyDescent="0.3">
      <c r="A46">
        <v>45</v>
      </c>
      <c r="B46" s="2">
        <v>29.93301911217565</v>
      </c>
      <c r="C46">
        <v>0</v>
      </c>
      <c r="D46" s="2">
        <v>5.2468587064676617</v>
      </c>
      <c r="E46">
        <v>0</v>
      </c>
      <c r="F46">
        <v>0</v>
      </c>
      <c r="G46">
        <v>0</v>
      </c>
    </row>
    <row r="47" spans="1:7" x14ac:dyDescent="0.3">
      <c r="A47">
        <v>46</v>
      </c>
      <c r="B47" s="2">
        <v>29.2827829261477</v>
      </c>
      <c r="C47">
        <v>0</v>
      </c>
      <c r="D47" s="2">
        <v>6.4782875621890543</v>
      </c>
      <c r="E47">
        <v>0</v>
      </c>
      <c r="F47">
        <v>0</v>
      </c>
      <c r="G47">
        <v>0</v>
      </c>
    </row>
    <row r="48" spans="1:7" x14ac:dyDescent="0.3">
      <c r="A48">
        <v>47</v>
      </c>
      <c r="B48" s="2">
        <v>14.28968790419162</v>
      </c>
      <c r="C48">
        <v>0</v>
      </c>
      <c r="D48" s="2">
        <v>6.2361014925373137</v>
      </c>
      <c r="E48">
        <v>0</v>
      </c>
      <c r="F48">
        <v>0</v>
      </c>
      <c r="G48">
        <v>0</v>
      </c>
    </row>
    <row r="49" spans="1:7" x14ac:dyDescent="0.3">
      <c r="A49">
        <v>48</v>
      </c>
      <c r="B49" s="2">
        <v>17.019129066666672</v>
      </c>
      <c r="C49">
        <v>0</v>
      </c>
      <c r="D49" s="2">
        <v>5.8937004975124383</v>
      </c>
      <c r="E49">
        <v>0</v>
      </c>
      <c r="F49">
        <v>0</v>
      </c>
      <c r="G49">
        <v>0</v>
      </c>
    </row>
    <row r="50" spans="1:7" x14ac:dyDescent="0.3">
      <c r="A50">
        <v>49</v>
      </c>
      <c r="B50" s="2">
        <v>9.0833675049900204</v>
      </c>
      <c r="C50">
        <v>0</v>
      </c>
      <c r="D50" s="2">
        <v>4.521818905472637</v>
      </c>
      <c r="E50">
        <v>0</v>
      </c>
      <c r="F50">
        <v>0</v>
      </c>
      <c r="G50">
        <v>0</v>
      </c>
    </row>
    <row r="51" spans="1:7" x14ac:dyDescent="0.3">
      <c r="A51">
        <v>50</v>
      </c>
      <c r="B51" s="2">
        <v>14.91223089660679</v>
      </c>
      <c r="C51">
        <v>0</v>
      </c>
      <c r="D51" s="2">
        <v>1.8570129353233831</v>
      </c>
      <c r="E51">
        <v>0</v>
      </c>
      <c r="F51">
        <v>0</v>
      </c>
      <c r="G51">
        <v>0</v>
      </c>
    </row>
    <row r="52" spans="1:7" x14ac:dyDescent="0.3">
      <c r="A52">
        <v>51</v>
      </c>
      <c r="B52" s="2">
        <v>15.84493765748503</v>
      </c>
      <c r="C52">
        <v>0</v>
      </c>
      <c r="D52" s="2">
        <v>3.102866666666666</v>
      </c>
      <c r="E52">
        <v>0</v>
      </c>
      <c r="F52">
        <v>0</v>
      </c>
      <c r="G52">
        <v>0</v>
      </c>
    </row>
    <row r="53" spans="1:7" x14ac:dyDescent="0.3">
      <c r="A53">
        <v>52</v>
      </c>
      <c r="B53" s="2">
        <v>19.874851192015971</v>
      </c>
      <c r="C53">
        <v>0</v>
      </c>
      <c r="D53" s="2">
        <v>1.4341363184079601</v>
      </c>
      <c r="E53">
        <v>0</v>
      </c>
      <c r="F53">
        <v>0</v>
      </c>
      <c r="G53">
        <v>0</v>
      </c>
    </row>
    <row r="54" spans="1:7" x14ac:dyDescent="0.3">
      <c r="D54" s="2">
        <v>2.340625870646766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0974-AF2A-4F6B-8D0D-5A3795C6AE4A}">
  <dimension ref="A1:H23"/>
  <sheetViews>
    <sheetView workbookViewId="0">
      <selection activeCell="J14" sqref="J13:J14"/>
    </sheetView>
  </sheetViews>
  <sheetFormatPr defaultRowHeight="14.4" x14ac:dyDescent="0.3"/>
  <cols>
    <col min="1" max="1" width="26.21875" customWidth="1"/>
  </cols>
  <sheetData>
    <row r="1" spans="1:8" x14ac:dyDescent="0.3">
      <c r="A1" t="s">
        <v>7</v>
      </c>
    </row>
    <row r="3" spans="1:8" x14ac:dyDescent="0.3">
      <c r="B3" t="s">
        <v>0</v>
      </c>
      <c r="C3" t="s">
        <v>2</v>
      </c>
      <c r="D3" t="s">
        <v>3</v>
      </c>
      <c r="E3" t="s">
        <v>1</v>
      </c>
      <c r="F3" t="s">
        <v>4</v>
      </c>
      <c r="G3" t="s">
        <v>5</v>
      </c>
      <c r="H3" t="s">
        <v>6</v>
      </c>
    </row>
    <row r="4" spans="1:8" x14ac:dyDescent="0.3">
      <c r="A4" s="3" t="s">
        <v>8</v>
      </c>
      <c r="B4" s="4">
        <v>5710.5631000000012</v>
      </c>
      <c r="C4" s="4">
        <v>293.62</v>
      </c>
      <c r="D4" s="4">
        <v>675.17254000000003</v>
      </c>
      <c r="E4" s="4">
        <v>125.38500000000001</v>
      </c>
      <c r="F4" s="4">
        <v>81.905000000000001</v>
      </c>
      <c r="G4" s="4">
        <v>91.925000000000011</v>
      </c>
      <c r="H4" s="4">
        <v>50.03</v>
      </c>
    </row>
    <row r="5" spans="1:8" x14ac:dyDescent="0.3">
      <c r="A5" s="5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</row>
    <row r="6" spans="1:8" x14ac:dyDescent="0.3">
      <c r="A6" s="5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8" x14ac:dyDescent="0.3">
      <c r="A7" s="3" t="s">
        <v>11</v>
      </c>
      <c r="B7" s="4">
        <v>6344.9739999999993</v>
      </c>
      <c r="C7" s="4">
        <v>389.27</v>
      </c>
      <c r="D7" s="4">
        <v>1005.116</v>
      </c>
      <c r="E7" s="4">
        <v>701.28400000000011</v>
      </c>
      <c r="F7" s="4">
        <v>153.39750000000001</v>
      </c>
      <c r="G7" s="4">
        <v>42.34</v>
      </c>
      <c r="H7" s="4">
        <v>178.27</v>
      </c>
    </row>
    <row r="8" spans="1:8" x14ac:dyDescent="0.3">
      <c r="A8" s="3" t="s">
        <v>12</v>
      </c>
      <c r="B8" s="4">
        <v>3707</v>
      </c>
      <c r="C8" s="4">
        <v>187</v>
      </c>
      <c r="D8" s="4">
        <v>803.3599999999999</v>
      </c>
      <c r="E8" s="4">
        <v>572.4</v>
      </c>
      <c r="F8" s="4">
        <v>144.4</v>
      </c>
      <c r="G8" s="4">
        <v>0</v>
      </c>
      <c r="H8" s="4">
        <v>153.80000000000001</v>
      </c>
    </row>
    <row r="9" spans="1:8" x14ac:dyDescent="0.3">
      <c r="A9" s="5" t="s">
        <v>13</v>
      </c>
      <c r="B9" s="6">
        <v>2774.8580000000002</v>
      </c>
      <c r="C9" s="6">
        <v>0</v>
      </c>
      <c r="D9" s="6">
        <v>763</v>
      </c>
      <c r="E9" s="6">
        <v>0</v>
      </c>
      <c r="F9" s="6">
        <v>0</v>
      </c>
      <c r="G9" s="6">
        <v>80</v>
      </c>
      <c r="H9" s="6">
        <v>0</v>
      </c>
    </row>
    <row r="10" spans="1:8" x14ac:dyDescent="0.3">
      <c r="A10" s="5" t="s">
        <v>14</v>
      </c>
      <c r="B10" s="6">
        <v>-1751</v>
      </c>
      <c r="C10" s="6">
        <v>0</v>
      </c>
      <c r="D10" s="6">
        <v>-333</v>
      </c>
      <c r="E10" s="6">
        <v>0</v>
      </c>
      <c r="F10" s="6">
        <v>0</v>
      </c>
      <c r="G10" s="6">
        <v>-58</v>
      </c>
      <c r="H10" s="6">
        <v>0</v>
      </c>
    </row>
    <row r="11" spans="1:8" x14ac:dyDescent="0.3">
      <c r="A11" s="5" t="s">
        <v>15</v>
      </c>
      <c r="B11" s="6">
        <v>194</v>
      </c>
      <c r="C11" s="6">
        <v>0</v>
      </c>
      <c r="D11" s="6">
        <v>94.99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3">
      <c r="A12" s="3" t="s">
        <v>16</v>
      </c>
      <c r="B12" s="4">
        <v>2430.1999999999998</v>
      </c>
      <c r="C12" s="4">
        <v>0</v>
      </c>
      <c r="D12" s="4">
        <v>1000</v>
      </c>
      <c r="E12" s="4">
        <v>0</v>
      </c>
      <c r="F12" s="4">
        <v>240</v>
      </c>
      <c r="G12" s="4">
        <v>500</v>
      </c>
      <c r="H12" s="4">
        <v>0</v>
      </c>
    </row>
    <row r="13" spans="1:8" x14ac:dyDescent="0.3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3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9" spans="1:8" x14ac:dyDescent="0.3">
      <c r="A19" t="s">
        <v>19</v>
      </c>
      <c r="B19" s="8">
        <f>B11*1000</f>
        <v>194000</v>
      </c>
      <c r="C19" s="8">
        <f t="shared" ref="C19:H19" si="0">C11*1000</f>
        <v>0</v>
      </c>
      <c r="D19" s="8">
        <f t="shared" si="0"/>
        <v>94990</v>
      </c>
      <c r="E19" s="8">
        <f t="shared" si="0"/>
        <v>0</v>
      </c>
      <c r="F19" s="8">
        <f t="shared" si="0"/>
        <v>0</v>
      </c>
      <c r="G19" s="8">
        <f t="shared" si="0"/>
        <v>0</v>
      </c>
      <c r="H19" s="8">
        <f t="shared" si="0"/>
        <v>0</v>
      </c>
    </row>
    <row r="20" spans="1:8" x14ac:dyDescent="0.3">
      <c r="A20" t="s">
        <v>20</v>
      </c>
      <c r="B20" s="8">
        <f>B9+B12</f>
        <v>5205.058</v>
      </c>
      <c r="C20" s="8">
        <f t="shared" ref="C20:H20" si="1">C9+C12</f>
        <v>0</v>
      </c>
      <c r="D20" s="8">
        <f t="shared" si="1"/>
        <v>1763</v>
      </c>
      <c r="E20" s="8">
        <f t="shared" si="1"/>
        <v>0</v>
      </c>
      <c r="F20" s="8">
        <f t="shared" si="1"/>
        <v>240</v>
      </c>
      <c r="G20" s="8">
        <f t="shared" si="1"/>
        <v>580</v>
      </c>
      <c r="H20" s="8">
        <f t="shared" si="1"/>
        <v>0</v>
      </c>
    </row>
    <row r="21" spans="1:8" x14ac:dyDescent="0.3">
      <c r="A21" t="s">
        <v>22</v>
      </c>
      <c r="B21">
        <f>B20/B19</f>
        <v>2.6830195876288661E-2</v>
      </c>
      <c r="D21">
        <f t="shared" ref="D21" si="2">D20/D19</f>
        <v>1.8559848405095274E-2</v>
      </c>
    </row>
    <row r="22" spans="1:8" x14ac:dyDescent="0.3">
      <c r="A22" t="s">
        <v>21</v>
      </c>
      <c r="B22" s="8">
        <f>-B10</f>
        <v>1751</v>
      </c>
      <c r="C22" s="8">
        <f t="shared" ref="C22:H22" si="3">-C10</f>
        <v>0</v>
      </c>
      <c r="D22" s="8">
        <f t="shared" si="3"/>
        <v>333</v>
      </c>
      <c r="E22" s="8">
        <f t="shared" si="3"/>
        <v>0</v>
      </c>
      <c r="F22" s="8">
        <f t="shared" si="3"/>
        <v>0</v>
      </c>
      <c r="G22" s="8">
        <f t="shared" si="3"/>
        <v>58</v>
      </c>
      <c r="H22" s="8">
        <f t="shared" si="3"/>
        <v>0</v>
      </c>
    </row>
    <row r="23" spans="1:8" x14ac:dyDescent="0.3">
      <c r="A23" t="s">
        <v>23</v>
      </c>
    </row>
  </sheetData>
  <dataValidations count="1">
    <dataValidation type="decimal" operator="lessThanOrEqual" showInputMessage="1" showErrorMessage="1" errorTitle="Value Error" error="Value for pumping rated power must be negative!" sqref="B13:H13 B10:H10" xr:uid="{EF8C4D86-D4BD-413A-B6C6-1543B6A3D7E9}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Hydro_inflows</vt:lpstr>
      <vt:lpstr>run_of_river</vt:lpstr>
      <vt:lpstr>pumped_storage_open_inflows</vt:lpstr>
      <vt:lpstr>Info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2025-04-16T19:49:51Z</dcterms:created>
  <dcterms:modified xsi:type="dcterms:W3CDTF">2026-01-13T13:26:21Z</dcterms:modified>
</cp:coreProperties>
</file>