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8AEBBE6B-9F4E-4117-BA10-771459660DBB}" xr6:coauthVersionLast="47" xr6:coauthVersionMax="47" xr10:uidLastSave="{00000000-0000-0000-0000-000000000000}"/>
  <bookViews>
    <workbookView xWindow="-96" yWindow="0" windowWidth="11712" windowHeight="12336" tabRatio="937" activeTab="3" xr2:uid="{00000000-000D-0000-FFFF-FFFF00000000}"/>
  </bookViews>
  <sheets>
    <sheet name="pumped_storage_open_inflows" sheetId="1" r:id="rId1"/>
    <sheet name="Hydro_inflows" sheetId="4" r:id="rId2"/>
    <sheet name="run_of_river" sheetId="5" r:id="rId3"/>
    <sheet name="Info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" i="6" l="1"/>
  <c r="J21" i="6"/>
  <c r="J23" i="6"/>
  <c r="J18" i="6"/>
  <c r="D23" i="6"/>
  <c r="B23" i="6"/>
  <c r="I23" i="6"/>
  <c r="I21" i="6"/>
  <c r="I18" i="6"/>
  <c r="D21" i="6"/>
  <c r="F21" i="6"/>
  <c r="G21" i="6"/>
  <c r="B21" i="6"/>
  <c r="C20" i="6"/>
  <c r="D20" i="6"/>
  <c r="E20" i="6"/>
  <c r="F20" i="6"/>
  <c r="G20" i="6"/>
  <c r="H20" i="6"/>
  <c r="B20" i="6"/>
  <c r="C19" i="6"/>
  <c r="D19" i="6"/>
  <c r="E19" i="6"/>
  <c r="F19" i="6"/>
  <c r="G19" i="6"/>
  <c r="H19" i="6"/>
  <c r="C22" i="6"/>
  <c r="D22" i="6"/>
  <c r="E22" i="6"/>
  <c r="F22" i="6"/>
  <c r="G22" i="6"/>
  <c r="H22" i="6"/>
  <c r="B22" i="6"/>
  <c r="B16" i="6"/>
  <c r="C17" i="6"/>
  <c r="D17" i="6"/>
  <c r="E17" i="6"/>
  <c r="F17" i="6"/>
  <c r="G17" i="6"/>
  <c r="H17" i="6"/>
  <c r="B17" i="6"/>
  <c r="C16" i="6"/>
  <c r="D16" i="6"/>
  <c r="E16" i="6"/>
  <c r="F16" i="6"/>
  <c r="G16" i="6"/>
  <c r="H16" i="6"/>
  <c r="H28" i="6"/>
  <c r="G28" i="6"/>
  <c r="F28" i="6"/>
  <c r="E28" i="6"/>
  <c r="D28" i="6"/>
  <c r="C28" i="6"/>
  <c r="B28" i="6"/>
  <c r="H26" i="6"/>
  <c r="G26" i="6"/>
  <c r="F26" i="6"/>
  <c r="E26" i="6"/>
  <c r="D26" i="6"/>
  <c r="C26" i="6"/>
  <c r="B26" i="6"/>
  <c r="H25" i="6"/>
  <c r="G25" i="6"/>
  <c r="F25" i="6"/>
  <c r="E25" i="6"/>
  <c r="D25" i="6"/>
  <c r="C25" i="6"/>
  <c r="B25" i="6"/>
  <c r="B18" i="6" l="1"/>
  <c r="G18" i="6"/>
  <c r="D18" i="6"/>
  <c r="F18" i="6"/>
  <c r="E18" i="6"/>
  <c r="C18" i="6"/>
  <c r="H18" i="6"/>
  <c r="D27" i="6"/>
  <c r="B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4" authorId="0" shapeId="0" xr:uid="{4E3EDB84-DC5D-4770-810C-A169B68AD865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Run of river inflows 2017 from datasetTWNDP 2024, GWh/day</t>
        </r>
      </text>
    </comment>
  </commentList>
</comments>
</file>

<file path=xl/sharedStrings.xml><?xml version="1.0" encoding="utf-8"?>
<sst xmlns="http://schemas.openxmlformats.org/spreadsheetml/2006/main" count="57" uniqueCount="36">
  <si>
    <t>NORD</t>
  </si>
  <si>
    <t>CNOR</t>
  </si>
  <si>
    <t>CSUD</t>
  </si>
  <si>
    <t>CALA</t>
  </si>
  <si>
    <t>SARD</t>
  </si>
  <si>
    <t>SICI</t>
  </si>
  <si>
    <t>SUD</t>
  </si>
  <si>
    <t>Run of River - MW</t>
  </si>
  <si>
    <t>Pondage - MW</t>
  </si>
  <si>
    <t>Pondage - GWh</t>
  </si>
  <si>
    <t>Reservoir - MW</t>
  </si>
  <si>
    <t>Reservoir - GWh</t>
  </si>
  <si>
    <t>PS Open (turbine) - MW</t>
  </si>
  <si>
    <t>PS Open (pump) - MW</t>
  </si>
  <si>
    <t>PS Open - GWh</t>
  </si>
  <si>
    <t>PS Closed (turbine) - MW</t>
  </si>
  <si>
    <t>PS Closed (pump) - MW</t>
  </si>
  <si>
    <t>PS Closed - GWh</t>
  </si>
  <si>
    <t>PS size</t>
  </si>
  <si>
    <t>PS out</t>
  </si>
  <si>
    <t>PS out ratio</t>
  </si>
  <si>
    <t>PS in</t>
  </si>
  <si>
    <t>Data in GWh/week - TYNDP 2024, Reservoir Year-Dependent</t>
  </si>
  <si>
    <t>reservoir capacityMWh</t>
  </si>
  <si>
    <t>reservoir Pout MW</t>
  </si>
  <si>
    <t>storage duration reservoir</t>
  </si>
  <si>
    <t>PS open+closed capacity MWh</t>
  </si>
  <si>
    <t>PS open+closed Pcharge MW</t>
  </si>
  <si>
    <t>PS open+closed Pdischarge MW</t>
  </si>
  <si>
    <t>hours</t>
  </si>
  <si>
    <t>discharge duration</t>
  </si>
  <si>
    <t>charge duration</t>
  </si>
  <si>
    <t>reservoir discharge</t>
  </si>
  <si>
    <t>PS discharge</t>
  </si>
  <si>
    <t>PS charge</t>
  </si>
  <si>
    <t>reciprocal (values that go in Adopt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</si>
</sst>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charset val="1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b/>
      <sz val="11"/>
      <name val="Arial"/>
      <family val="2"/>
    </font>
    <font>
      <sz val="1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indexed="6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1" fontId="1" fillId="0" borderId="1">
      <alignment horizontal="right" vertical="top" wrapText="1"/>
    </xf>
    <xf numFmtId="0" fontId="2" fillId="2" borderId="1">
      <alignment horizontal="left"/>
    </xf>
    <xf numFmtId="49" fontId="1" fillId="0" borderId="1">
      <alignment horizontal="right"/>
    </xf>
  </cellStyleXfs>
  <cellXfs count="10">
    <xf numFmtId="0" fontId="0" fillId="0" borderId="0" xfId="0"/>
    <xf numFmtId="0" fontId="3" fillId="3" borderId="1" xfId="2" applyFont="1" applyFill="1" applyAlignment="1">
      <alignment horizontal="right"/>
    </xf>
    <xf numFmtId="1" fontId="4" fillId="3" borderId="1" xfId="3" applyNumberFormat="1" applyFont="1" applyFill="1">
      <alignment horizontal="right"/>
    </xf>
    <xf numFmtId="0" fontId="3" fillId="4" borderId="1" xfId="2" applyFont="1" applyFill="1" applyAlignment="1">
      <alignment horizontal="right"/>
    </xf>
    <xf numFmtId="1" fontId="4" fillId="4" borderId="1" xfId="3" applyNumberFormat="1" applyFont="1" applyFill="1">
      <alignment horizontal="right"/>
    </xf>
    <xf numFmtId="1" fontId="0" fillId="0" borderId="0" xfId="0" applyNumberFormat="1"/>
    <xf numFmtId="0" fontId="3" fillId="3" borderId="2" xfId="2" applyFont="1" applyFill="1" applyBorder="1" applyAlignment="1">
      <alignment horizontal="right"/>
    </xf>
    <xf numFmtId="0" fontId="3" fillId="3" borderId="0" xfId="2" applyFont="1" applyFill="1" applyBorder="1" applyAlignment="1">
      <alignment horizontal="right"/>
    </xf>
    <xf numFmtId="0" fontId="7" fillId="5" borderId="0" xfId="0" applyFont="1" applyFill="1"/>
    <xf numFmtId="0" fontId="0" fillId="5" borderId="0" xfId="0" applyFill="1"/>
  </cellXfs>
  <cellStyles count="4">
    <cellStyle name="Normal" xfId="0" builtinId="0"/>
    <cellStyle name="Style 201" xfId="1" xr:uid="{00000000-0005-0000-0000-000006000000}"/>
    <cellStyle name="Style 24" xfId="3" xr:uid="{64D6D57C-DC12-43BF-8CA0-B5327E2537BA}"/>
    <cellStyle name="Style 58" xfId="2" xr:uid="{F9F48670-BA49-450F-8AAC-0975E004E8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opLeftCell="A43" zoomScaleNormal="100" workbookViewId="0">
      <selection activeCell="K14" activeCellId="1" sqref="L1:S3 K14"/>
    </sheetView>
  </sheetViews>
  <sheetFormatPr defaultColWidth="10.109375" defaultRowHeight="14.4" x14ac:dyDescent="0.3"/>
  <cols>
    <col min="1" max="1" width="8.5546875" customWidth="1"/>
  </cols>
  <sheetData>
    <row r="1" spans="1: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>
        <v>35593.626221969898</v>
      </c>
      <c r="C2">
        <v>0</v>
      </c>
      <c r="D2">
        <v>9835.0992946916194</v>
      </c>
      <c r="E2">
        <v>0</v>
      </c>
      <c r="F2">
        <v>0</v>
      </c>
      <c r="G2">
        <v>1.46355596362684</v>
      </c>
      <c r="H2">
        <v>0</v>
      </c>
    </row>
    <row r="3" spans="1:8" x14ac:dyDescent="0.3">
      <c r="A3">
        <v>2</v>
      </c>
      <c r="B3">
        <v>35981.890651091599</v>
      </c>
      <c r="C3">
        <v>0</v>
      </c>
      <c r="D3">
        <v>10031.5389431364</v>
      </c>
      <c r="E3">
        <v>0</v>
      </c>
      <c r="F3">
        <v>0</v>
      </c>
      <c r="G3">
        <v>2.3709540415487802</v>
      </c>
      <c r="H3">
        <v>0</v>
      </c>
    </row>
    <row r="4" spans="1:8" x14ac:dyDescent="0.3">
      <c r="A4">
        <v>3</v>
      </c>
      <c r="B4">
        <v>33607.918045361301</v>
      </c>
      <c r="C4">
        <v>0</v>
      </c>
      <c r="D4">
        <v>9882.9848680608702</v>
      </c>
      <c r="E4">
        <v>0</v>
      </c>
      <c r="F4">
        <v>0</v>
      </c>
      <c r="G4">
        <v>1.5018227390394401</v>
      </c>
      <c r="H4">
        <v>0</v>
      </c>
    </row>
    <row r="5" spans="1:8" x14ac:dyDescent="0.3">
      <c r="A5">
        <v>4</v>
      </c>
      <c r="B5">
        <v>31335.793160606099</v>
      </c>
      <c r="C5">
        <v>0</v>
      </c>
      <c r="D5">
        <v>8495.3761371690598</v>
      </c>
      <c r="E5">
        <v>0</v>
      </c>
      <c r="F5">
        <v>0</v>
      </c>
      <c r="G5">
        <v>1.4806183429478601</v>
      </c>
      <c r="H5">
        <v>0</v>
      </c>
    </row>
    <row r="6" spans="1:8" x14ac:dyDescent="0.3">
      <c r="A6">
        <v>5</v>
      </c>
      <c r="B6">
        <v>25967.512176402499</v>
      </c>
      <c r="C6">
        <v>0</v>
      </c>
      <c r="D6">
        <v>7486.1675737790401</v>
      </c>
      <c r="E6">
        <v>0</v>
      </c>
      <c r="F6">
        <v>0</v>
      </c>
      <c r="G6">
        <v>2.2199805747323098</v>
      </c>
      <c r="H6">
        <v>0</v>
      </c>
    </row>
    <row r="7" spans="1:8" x14ac:dyDescent="0.3">
      <c r="A7">
        <v>6</v>
      </c>
      <c r="B7">
        <v>27136.9392266549</v>
      </c>
      <c r="C7">
        <v>0</v>
      </c>
      <c r="D7">
        <v>7523.2615946695996</v>
      </c>
      <c r="E7">
        <v>0</v>
      </c>
      <c r="F7">
        <v>0</v>
      </c>
      <c r="G7">
        <v>1.5416088089511499</v>
      </c>
      <c r="H7">
        <v>0</v>
      </c>
    </row>
    <row r="8" spans="1:8" x14ac:dyDescent="0.3">
      <c r="A8">
        <v>7</v>
      </c>
      <c r="B8">
        <v>21802.941633216102</v>
      </c>
      <c r="C8">
        <v>0</v>
      </c>
      <c r="D8">
        <v>7507.6270168995097</v>
      </c>
      <c r="E8">
        <v>0</v>
      </c>
      <c r="F8">
        <v>0</v>
      </c>
      <c r="G8">
        <v>1.51302773789344</v>
      </c>
      <c r="H8">
        <v>0</v>
      </c>
    </row>
    <row r="9" spans="1:8" x14ac:dyDescent="0.3">
      <c r="A9">
        <v>8</v>
      </c>
      <c r="B9">
        <v>22624.375736943901</v>
      </c>
      <c r="C9">
        <v>0</v>
      </c>
      <c r="D9">
        <v>7612.12138918042</v>
      </c>
      <c r="E9">
        <v>0</v>
      </c>
      <c r="F9">
        <v>0</v>
      </c>
      <c r="G9">
        <v>2.0642995504011301</v>
      </c>
      <c r="H9">
        <v>0</v>
      </c>
    </row>
    <row r="10" spans="1:8" x14ac:dyDescent="0.3">
      <c r="A10">
        <v>9</v>
      </c>
      <c r="B10">
        <v>36736.894179321498</v>
      </c>
      <c r="C10">
        <v>0</v>
      </c>
      <c r="D10">
        <v>10462.707628673001</v>
      </c>
      <c r="E10">
        <v>0</v>
      </c>
      <c r="F10">
        <v>0</v>
      </c>
      <c r="G10">
        <v>2.37801600750202</v>
      </c>
      <c r="H10">
        <v>0</v>
      </c>
    </row>
    <row r="11" spans="1:8" x14ac:dyDescent="0.3">
      <c r="A11">
        <v>10</v>
      </c>
      <c r="B11">
        <v>49631.218315017402</v>
      </c>
      <c r="C11">
        <v>0</v>
      </c>
      <c r="D11">
        <v>13018.1076334631</v>
      </c>
      <c r="E11">
        <v>0</v>
      </c>
      <c r="F11">
        <v>0</v>
      </c>
      <c r="G11">
        <v>2.02471443427376</v>
      </c>
      <c r="H11">
        <v>0</v>
      </c>
    </row>
    <row r="12" spans="1:8" x14ac:dyDescent="0.3">
      <c r="A12">
        <v>11</v>
      </c>
      <c r="B12">
        <v>48725.882404383199</v>
      </c>
      <c r="C12">
        <v>0</v>
      </c>
      <c r="D12">
        <v>13096.932624818201</v>
      </c>
      <c r="E12">
        <v>0</v>
      </c>
      <c r="F12">
        <v>0</v>
      </c>
      <c r="G12">
        <v>1.6660414536752901</v>
      </c>
      <c r="H12">
        <v>0</v>
      </c>
    </row>
    <row r="13" spans="1:8" x14ac:dyDescent="0.3">
      <c r="A13">
        <v>12</v>
      </c>
      <c r="B13">
        <v>45739.770184815803</v>
      </c>
      <c r="C13">
        <v>0</v>
      </c>
      <c r="D13">
        <v>13147.375528161099</v>
      </c>
      <c r="E13">
        <v>0</v>
      </c>
      <c r="F13">
        <v>0</v>
      </c>
      <c r="G13">
        <v>1.46941091598278</v>
      </c>
      <c r="H13">
        <v>0</v>
      </c>
    </row>
    <row r="14" spans="1:8" x14ac:dyDescent="0.3">
      <c r="A14">
        <v>13</v>
      </c>
      <c r="B14">
        <v>52670.775684205903</v>
      </c>
      <c r="C14">
        <v>0</v>
      </c>
      <c r="D14">
        <v>13629.0797625914</v>
      </c>
      <c r="E14">
        <v>0</v>
      </c>
      <c r="F14">
        <v>0</v>
      </c>
      <c r="G14">
        <v>1.42747708000513</v>
      </c>
      <c r="H14">
        <v>0</v>
      </c>
    </row>
    <row r="15" spans="1:8" x14ac:dyDescent="0.3">
      <c r="A15">
        <v>14</v>
      </c>
      <c r="B15">
        <v>54561.768335546301</v>
      </c>
      <c r="C15">
        <v>0</v>
      </c>
      <c r="D15">
        <v>12769.592428517401</v>
      </c>
      <c r="E15">
        <v>0</v>
      </c>
      <c r="F15">
        <v>0</v>
      </c>
      <c r="G15">
        <v>1.4147774858724</v>
      </c>
      <c r="H15">
        <v>0</v>
      </c>
    </row>
    <row r="16" spans="1:8" x14ac:dyDescent="0.3">
      <c r="A16">
        <v>15</v>
      </c>
      <c r="B16">
        <v>68540.773367803893</v>
      </c>
      <c r="C16">
        <v>0</v>
      </c>
      <c r="D16">
        <v>10323.0702964626</v>
      </c>
      <c r="E16">
        <v>0</v>
      </c>
      <c r="F16">
        <v>0</v>
      </c>
      <c r="G16">
        <v>1.40380704459855</v>
      </c>
      <c r="H16">
        <v>0</v>
      </c>
    </row>
    <row r="17" spans="1:8" x14ac:dyDescent="0.3">
      <c r="A17">
        <v>16</v>
      </c>
      <c r="B17">
        <v>63114.128866913401</v>
      </c>
      <c r="C17">
        <v>0</v>
      </c>
      <c r="D17">
        <v>10738.8697620783</v>
      </c>
      <c r="E17">
        <v>0</v>
      </c>
      <c r="F17">
        <v>0</v>
      </c>
      <c r="G17">
        <v>1.40380704459855</v>
      </c>
      <c r="H17">
        <v>0</v>
      </c>
    </row>
    <row r="18" spans="1:8" x14ac:dyDescent="0.3">
      <c r="A18">
        <v>17</v>
      </c>
      <c r="B18">
        <v>61367.2013955644</v>
      </c>
      <c r="C18">
        <v>0</v>
      </c>
      <c r="D18">
        <v>10516.494357027999</v>
      </c>
      <c r="E18">
        <v>0</v>
      </c>
      <c r="F18">
        <v>0</v>
      </c>
      <c r="G18">
        <v>1.40380704459855</v>
      </c>
      <c r="H18">
        <v>0</v>
      </c>
    </row>
    <row r="19" spans="1:8" x14ac:dyDescent="0.3">
      <c r="A19">
        <v>18</v>
      </c>
      <c r="B19">
        <v>65965.379907391005</v>
      </c>
      <c r="C19">
        <v>0</v>
      </c>
      <c r="D19">
        <v>11864.540179710901</v>
      </c>
      <c r="E19">
        <v>0</v>
      </c>
      <c r="F19">
        <v>0</v>
      </c>
      <c r="G19">
        <v>1.40380704459855</v>
      </c>
      <c r="H19">
        <v>0</v>
      </c>
    </row>
    <row r="20" spans="1:8" x14ac:dyDescent="0.3">
      <c r="A20">
        <v>19</v>
      </c>
      <c r="B20">
        <v>74900.389259014104</v>
      </c>
      <c r="C20">
        <v>0</v>
      </c>
      <c r="D20">
        <v>12193.0453471562</v>
      </c>
      <c r="E20">
        <v>0</v>
      </c>
      <c r="F20">
        <v>0</v>
      </c>
      <c r="G20">
        <v>1.9189952788093201</v>
      </c>
      <c r="H20">
        <v>0</v>
      </c>
    </row>
    <row r="21" spans="1:8" x14ac:dyDescent="0.3">
      <c r="A21">
        <v>20</v>
      </c>
      <c r="B21">
        <v>84787.195392782305</v>
      </c>
      <c r="C21">
        <v>0</v>
      </c>
      <c r="D21">
        <v>11045.9905589435</v>
      </c>
      <c r="E21">
        <v>0</v>
      </c>
      <c r="F21">
        <v>0</v>
      </c>
      <c r="G21">
        <v>1.43189024876946</v>
      </c>
      <c r="H21">
        <v>0</v>
      </c>
    </row>
    <row r="22" spans="1:8" x14ac:dyDescent="0.3">
      <c r="A22">
        <v>21</v>
      </c>
      <c r="B22">
        <v>88476.309688059904</v>
      </c>
      <c r="C22">
        <v>0</v>
      </c>
      <c r="D22">
        <v>10682.337396070599</v>
      </c>
      <c r="E22">
        <v>0</v>
      </c>
      <c r="F22">
        <v>0</v>
      </c>
      <c r="G22">
        <v>1.40380704459855</v>
      </c>
      <c r="H22">
        <v>0</v>
      </c>
    </row>
    <row r="23" spans="1:8" x14ac:dyDescent="0.3">
      <c r="A23">
        <v>22</v>
      </c>
      <c r="B23">
        <v>87983.696554021299</v>
      </c>
      <c r="C23">
        <v>0</v>
      </c>
      <c r="D23">
        <v>9535.3999806662396</v>
      </c>
      <c r="E23">
        <v>0</v>
      </c>
      <c r="F23">
        <v>0</v>
      </c>
      <c r="G23">
        <v>1.40380704459855</v>
      </c>
      <c r="H23">
        <v>0</v>
      </c>
    </row>
    <row r="24" spans="1:8" x14ac:dyDescent="0.3">
      <c r="A24">
        <v>23</v>
      </c>
      <c r="B24">
        <v>90220.412681240297</v>
      </c>
      <c r="C24">
        <v>0</v>
      </c>
      <c r="D24">
        <v>7786.5119150656501</v>
      </c>
      <c r="E24">
        <v>0</v>
      </c>
      <c r="F24">
        <v>0</v>
      </c>
      <c r="G24">
        <v>1.40380704459855</v>
      </c>
      <c r="H24">
        <v>0</v>
      </c>
    </row>
    <row r="25" spans="1:8" x14ac:dyDescent="0.3">
      <c r="A25">
        <v>24</v>
      </c>
      <c r="B25">
        <v>92202.806657967696</v>
      </c>
      <c r="C25">
        <v>0</v>
      </c>
      <c r="D25">
        <v>7930.1492955128597</v>
      </c>
      <c r="E25">
        <v>0</v>
      </c>
      <c r="F25">
        <v>0</v>
      </c>
      <c r="G25">
        <v>1.40380704459855</v>
      </c>
      <c r="H25">
        <v>0</v>
      </c>
    </row>
    <row r="26" spans="1:8" x14ac:dyDescent="0.3">
      <c r="A26">
        <v>25</v>
      </c>
      <c r="B26">
        <v>96473.650897463507</v>
      </c>
      <c r="C26">
        <v>0</v>
      </c>
      <c r="D26">
        <v>8368.9894689259909</v>
      </c>
      <c r="E26">
        <v>0</v>
      </c>
      <c r="F26">
        <v>0</v>
      </c>
      <c r="G26">
        <v>1.40380704459855</v>
      </c>
      <c r="H26">
        <v>0</v>
      </c>
    </row>
    <row r="27" spans="1:8" x14ac:dyDescent="0.3">
      <c r="A27">
        <v>26</v>
      </c>
      <c r="B27">
        <v>97478.494368884494</v>
      </c>
      <c r="C27">
        <v>0</v>
      </c>
      <c r="D27">
        <v>8823.07110819218</v>
      </c>
      <c r="E27">
        <v>0</v>
      </c>
      <c r="F27">
        <v>0</v>
      </c>
      <c r="G27">
        <v>1.40380704459855</v>
      </c>
      <c r="H27">
        <v>0</v>
      </c>
    </row>
    <row r="28" spans="1:8" x14ac:dyDescent="0.3">
      <c r="A28">
        <v>27</v>
      </c>
      <c r="B28">
        <v>97579.855803697006</v>
      </c>
      <c r="C28">
        <v>0</v>
      </c>
      <c r="D28">
        <v>8845.5413089335198</v>
      </c>
      <c r="E28">
        <v>0</v>
      </c>
      <c r="F28">
        <v>0</v>
      </c>
      <c r="G28">
        <v>1.40380704459855</v>
      </c>
      <c r="H28">
        <v>0</v>
      </c>
    </row>
    <row r="29" spans="1:8" x14ac:dyDescent="0.3">
      <c r="A29">
        <v>28</v>
      </c>
      <c r="B29">
        <v>97018.702075667505</v>
      </c>
      <c r="C29">
        <v>0</v>
      </c>
      <c r="D29">
        <v>7480.3970567941697</v>
      </c>
      <c r="E29">
        <v>0</v>
      </c>
      <c r="F29">
        <v>0</v>
      </c>
      <c r="G29">
        <v>1.40380704459855</v>
      </c>
      <c r="H29">
        <v>0</v>
      </c>
    </row>
    <row r="30" spans="1:8" x14ac:dyDescent="0.3">
      <c r="A30">
        <v>29</v>
      </c>
      <c r="B30">
        <v>96670.018891333501</v>
      </c>
      <c r="C30">
        <v>0</v>
      </c>
      <c r="D30">
        <v>6921.7804080699498</v>
      </c>
      <c r="E30">
        <v>0</v>
      </c>
      <c r="F30">
        <v>0</v>
      </c>
      <c r="G30">
        <v>1.40380704459855</v>
      </c>
      <c r="H30">
        <v>0</v>
      </c>
    </row>
    <row r="31" spans="1:8" x14ac:dyDescent="0.3">
      <c r="A31">
        <v>30</v>
      </c>
      <c r="B31">
        <v>93537.543596989606</v>
      </c>
      <c r="C31">
        <v>0</v>
      </c>
      <c r="D31">
        <v>6317.6228693028297</v>
      </c>
      <c r="E31">
        <v>0</v>
      </c>
      <c r="F31">
        <v>0</v>
      </c>
      <c r="G31">
        <v>1.40380704459855</v>
      </c>
      <c r="H31">
        <v>0</v>
      </c>
    </row>
    <row r="32" spans="1:8" x14ac:dyDescent="0.3">
      <c r="A32">
        <v>31</v>
      </c>
      <c r="B32">
        <v>72308.737642349603</v>
      </c>
      <c r="C32">
        <v>0</v>
      </c>
      <c r="D32">
        <v>6439.28858213483</v>
      </c>
      <c r="E32">
        <v>0</v>
      </c>
      <c r="F32">
        <v>0</v>
      </c>
      <c r="G32">
        <v>1.40380704459855</v>
      </c>
      <c r="H32">
        <v>0</v>
      </c>
    </row>
    <row r="33" spans="1:8" x14ac:dyDescent="0.3">
      <c r="A33">
        <v>32</v>
      </c>
      <c r="B33">
        <v>61680.842315084301</v>
      </c>
      <c r="C33">
        <v>0</v>
      </c>
      <c r="D33">
        <v>5379.9959116599603</v>
      </c>
      <c r="E33">
        <v>0</v>
      </c>
      <c r="F33">
        <v>0</v>
      </c>
      <c r="G33">
        <v>1.40380704459855</v>
      </c>
      <c r="H33">
        <v>0</v>
      </c>
    </row>
    <row r="34" spans="1:8" x14ac:dyDescent="0.3">
      <c r="A34">
        <v>33</v>
      </c>
      <c r="B34">
        <v>60023.939484276598</v>
      </c>
      <c r="C34">
        <v>0</v>
      </c>
      <c r="D34">
        <v>5179.6211748329197</v>
      </c>
      <c r="E34">
        <v>0</v>
      </c>
      <c r="F34">
        <v>0</v>
      </c>
      <c r="G34">
        <v>1.40380704459855</v>
      </c>
      <c r="H34">
        <v>0</v>
      </c>
    </row>
    <row r="35" spans="1:8" x14ac:dyDescent="0.3">
      <c r="A35">
        <v>34</v>
      </c>
      <c r="B35">
        <v>58154.1087474628</v>
      </c>
      <c r="C35">
        <v>0</v>
      </c>
      <c r="D35">
        <v>4836.07212304733</v>
      </c>
      <c r="E35">
        <v>0</v>
      </c>
      <c r="F35">
        <v>0</v>
      </c>
      <c r="G35">
        <v>1.40380704459855</v>
      </c>
      <c r="H35">
        <v>0</v>
      </c>
    </row>
    <row r="36" spans="1:8" x14ac:dyDescent="0.3">
      <c r="A36">
        <v>35</v>
      </c>
      <c r="B36">
        <v>57091.258467465603</v>
      </c>
      <c r="C36">
        <v>0</v>
      </c>
      <c r="D36">
        <v>4311.3199554185303</v>
      </c>
      <c r="E36">
        <v>0</v>
      </c>
      <c r="F36">
        <v>0</v>
      </c>
      <c r="G36">
        <v>1.40380704459855</v>
      </c>
      <c r="H36">
        <v>0</v>
      </c>
    </row>
    <row r="37" spans="1:8" x14ac:dyDescent="0.3">
      <c r="A37">
        <v>36</v>
      </c>
      <c r="B37">
        <v>56126.860870419099</v>
      </c>
      <c r="C37">
        <v>0</v>
      </c>
      <c r="D37">
        <v>4747.2349490421802</v>
      </c>
      <c r="E37">
        <v>0</v>
      </c>
      <c r="F37">
        <v>0</v>
      </c>
      <c r="G37">
        <v>1.40380704459855</v>
      </c>
      <c r="H37">
        <v>0</v>
      </c>
    </row>
    <row r="38" spans="1:8" x14ac:dyDescent="0.3">
      <c r="A38">
        <v>37</v>
      </c>
      <c r="B38">
        <v>60593.896688704401</v>
      </c>
      <c r="C38">
        <v>0</v>
      </c>
      <c r="D38">
        <v>6117.8823192272002</v>
      </c>
      <c r="E38">
        <v>0</v>
      </c>
      <c r="F38">
        <v>0</v>
      </c>
      <c r="G38">
        <v>1.40380704459855</v>
      </c>
      <c r="H38">
        <v>0</v>
      </c>
    </row>
    <row r="39" spans="1:8" x14ac:dyDescent="0.3">
      <c r="A39">
        <v>38</v>
      </c>
      <c r="B39">
        <v>60084.735549181598</v>
      </c>
      <c r="C39">
        <v>0</v>
      </c>
      <c r="D39">
        <v>5640.42373474132</v>
      </c>
      <c r="E39">
        <v>0</v>
      </c>
      <c r="F39">
        <v>0</v>
      </c>
      <c r="G39">
        <v>1.43189024876946</v>
      </c>
      <c r="H39">
        <v>0</v>
      </c>
    </row>
    <row r="40" spans="1:8" x14ac:dyDescent="0.3">
      <c r="A40">
        <v>39</v>
      </c>
      <c r="B40">
        <v>64889.852848175397</v>
      </c>
      <c r="C40">
        <v>0</v>
      </c>
      <c r="D40">
        <v>5562.9673129675703</v>
      </c>
      <c r="E40">
        <v>0</v>
      </c>
      <c r="F40">
        <v>0</v>
      </c>
      <c r="G40">
        <v>1.40380704459855</v>
      </c>
      <c r="H40">
        <v>0</v>
      </c>
    </row>
    <row r="41" spans="1:8" x14ac:dyDescent="0.3">
      <c r="A41">
        <v>40</v>
      </c>
      <c r="B41">
        <v>74220.7046753217</v>
      </c>
      <c r="C41">
        <v>0</v>
      </c>
      <c r="D41">
        <v>6269.0676992674198</v>
      </c>
      <c r="E41">
        <v>0</v>
      </c>
      <c r="F41">
        <v>0</v>
      </c>
      <c r="G41">
        <v>1.40380704459855</v>
      </c>
      <c r="H41">
        <v>0</v>
      </c>
    </row>
    <row r="42" spans="1:8" x14ac:dyDescent="0.3">
      <c r="A42">
        <v>41</v>
      </c>
      <c r="B42">
        <v>79207.984794921605</v>
      </c>
      <c r="C42">
        <v>0</v>
      </c>
      <c r="D42">
        <v>7117.5096800561796</v>
      </c>
      <c r="E42">
        <v>0</v>
      </c>
      <c r="F42">
        <v>0</v>
      </c>
      <c r="G42">
        <v>1.40380704459855</v>
      </c>
      <c r="H42">
        <v>0</v>
      </c>
    </row>
    <row r="43" spans="1:8" x14ac:dyDescent="0.3">
      <c r="A43">
        <v>42</v>
      </c>
      <c r="B43">
        <v>80218.435169920296</v>
      </c>
      <c r="C43">
        <v>0</v>
      </c>
      <c r="D43">
        <v>8515.2330975548994</v>
      </c>
      <c r="E43">
        <v>0</v>
      </c>
      <c r="F43">
        <v>0</v>
      </c>
      <c r="G43">
        <v>1.7935277627511199</v>
      </c>
      <c r="H43">
        <v>0</v>
      </c>
    </row>
    <row r="44" spans="1:8" x14ac:dyDescent="0.3">
      <c r="A44">
        <v>43</v>
      </c>
      <c r="B44">
        <v>80135.633289216406</v>
      </c>
      <c r="C44">
        <v>0</v>
      </c>
      <c r="D44">
        <v>8229.8035684165206</v>
      </c>
      <c r="E44">
        <v>0</v>
      </c>
      <c r="F44">
        <v>0</v>
      </c>
      <c r="G44">
        <v>2.03127296134861</v>
      </c>
      <c r="H44">
        <v>0</v>
      </c>
    </row>
    <row r="45" spans="1:8" x14ac:dyDescent="0.3">
      <c r="A45">
        <v>44</v>
      </c>
      <c r="B45">
        <v>79517.605142105604</v>
      </c>
      <c r="C45">
        <v>0</v>
      </c>
      <c r="D45">
        <v>8411.6609676417793</v>
      </c>
      <c r="E45">
        <v>0</v>
      </c>
      <c r="F45">
        <v>0</v>
      </c>
      <c r="G45">
        <v>1.4112329266922801</v>
      </c>
      <c r="H45">
        <v>0</v>
      </c>
    </row>
    <row r="46" spans="1:8" x14ac:dyDescent="0.3">
      <c r="A46">
        <v>45</v>
      </c>
      <c r="B46">
        <v>70819.015878191</v>
      </c>
      <c r="C46">
        <v>0</v>
      </c>
      <c r="D46">
        <v>8429.9224953288503</v>
      </c>
      <c r="E46">
        <v>0</v>
      </c>
      <c r="F46">
        <v>0</v>
      </c>
      <c r="G46">
        <v>1.43240964224599</v>
      </c>
      <c r="H46">
        <v>0</v>
      </c>
    </row>
    <row r="47" spans="1:8" x14ac:dyDescent="0.3">
      <c r="A47">
        <v>46</v>
      </c>
      <c r="B47">
        <v>61519.779730014903</v>
      </c>
      <c r="C47">
        <v>0</v>
      </c>
      <c r="D47">
        <v>8671.9119626295706</v>
      </c>
      <c r="E47">
        <v>0</v>
      </c>
      <c r="F47">
        <v>0</v>
      </c>
      <c r="G47">
        <v>2.0064770453321099</v>
      </c>
      <c r="H47">
        <v>0</v>
      </c>
    </row>
    <row r="48" spans="1:8" x14ac:dyDescent="0.3">
      <c r="A48">
        <v>47</v>
      </c>
      <c r="B48">
        <v>58027.968869912103</v>
      </c>
      <c r="C48">
        <v>0</v>
      </c>
      <c r="D48">
        <v>9731.0361158334308</v>
      </c>
      <c r="E48">
        <v>0</v>
      </c>
      <c r="F48">
        <v>0</v>
      </c>
      <c r="G48">
        <v>1.43453451515657</v>
      </c>
      <c r="H48">
        <v>0</v>
      </c>
    </row>
    <row r="49" spans="1:8" x14ac:dyDescent="0.3">
      <c r="A49">
        <v>48</v>
      </c>
      <c r="B49">
        <v>53027.3564479864</v>
      </c>
      <c r="C49">
        <v>0</v>
      </c>
      <c r="D49">
        <v>9335.0088760492399</v>
      </c>
      <c r="E49">
        <v>0</v>
      </c>
      <c r="F49">
        <v>0</v>
      </c>
      <c r="G49">
        <v>1.4207305044265699</v>
      </c>
      <c r="H49">
        <v>0</v>
      </c>
    </row>
    <row r="50" spans="1:8" x14ac:dyDescent="0.3">
      <c r="A50">
        <v>49</v>
      </c>
      <c r="B50">
        <v>52015.800762633698</v>
      </c>
      <c r="C50">
        <v>0</v>
      </c>
      <c r="D50">
        <v>9990.8333314959491</v>
      </c>
      <c r="E50">
        <v>0</v>
      </c>
      <c r="F50">
        <v>0</v>
      </c>
      <c r="G50">
        <v>1.44507929968764</v>
      </c>
      <c r="H50">
        <v>0</v>
      </c>
    </row>
    <row r="51" spans="1:8" x14ac:dyDescent="0.3">
      <c r="A51">
        <v>50</v>
      </c>
      <c r="B51">
        <v>44968.465172546901</v>
      </c>
      <c r="C51">
        <v>0</v>
      </c>
      <c r="D51">
        <v>10420.9128332071</v>
      </c>
      <c r="E51">
        <v>0</v>
      </c>
      <c r="F51">
        <v>0</v>
      </c>
      <c r="G51">
        <v>1.43977135683299</v>
      </c>
      <c r="H51">
        <v>0</v>
      </c>
    </row>
    <row r="52" spans="1:8" x14ac:dyDescent="0.3">
      <c r="A52">
        <v>51</v>
      </c>
      <c r="B52">
        <v>39508.549964665202</v>
      </c>
      <c r="C52">
        <v>0</v>
      </c>
      <c r="D52">
        <v>10642.1750805789</v>
      </c>
      <c r="E52">
        <v>0</v>
      </c>
      <c r="F52">
        <v>0</v>
      </c>
      <c r="G52">
        <v>1.49956291677827</v>
      </c>
      <c r="H52">
        <v>0</v>
      </c>
    </row>
    <row r="53" spans="1:8" x14ac:dyDescent="0.3">
      <c r="A53">
        <v>52</v>
      </c>
      <c r="B53">
        <v>33951.691501261303</v>
      </c>
      <c r="C53">
        <v>0</v>
      </c>
      <c r="D53">
        <v>10468.5580907118</v>
      </c>
      <c r="E53">
        <v>0</v>
      </c>
      <c r="F53">
        <v>0</v>
      </c>
      <c r="G53">
        <v>2.1891295333677498</v>
      </c>
      <c r="H53">
        <v>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"/>
  <sheetViews>
    <sheetView zoomScaleNormal="100" workbookViewId="0">
      <selection activeCell="M14" activeCellId="1" sqref="L1:S3 M14"/>
    </sheetView>
  </sheetViews>
  <sheetFormatPr defaultColWidth="10.109375" defaultRowHeight="14.4" x14ac:dyDescent="0.3"/>
  <cols>
    <col min="1" max="1" width="8.5546875" customWidth="1"/>
  </cols>
  <sheetData>
    <row r="1" spans="1: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>
        <v>243607.52041545001</v>
      </c>
      <c r="C2">
        <v>12184.2489496174</v>
      </c>
      <c r="D2">
        <v>35717.501125700197</v>
      </c>
      <c r="E2">
        <v>12701.6195174679</v>
      </c>
      <c r="F2">
        <v>1377.15783447835</v>
      </c>
      <c r="G2">
        <v>466.824088240935</v>
      </c>
      <c r="H2">
        <v>3533.8093084214702</v>
      </c>
    </row>
    <row r="3" spans="1:8" x14ac:dyDescent="0.3">
      <c r="A3">
        <v>2</v>
      </c>
      <c r="B3">
        <v>227837.59690835301</v>
      </c>
      <c r="C3">
        <v>11870.964832887799</v>
      </c>
      <c r="D3">
        <v>35719.628860918703</v>
      </c>
      <c r="E3">
        <v>13896.9503818025</v>
      </c>
      <c r="F3">
        <v>1848.9060330754801</v>
      </c>
      <c r="G3">
        <v>419.741031854575</v>
      </c>
      <c r="H3">
        <v>3687.5274782634601</v>
      </c>
    </row>
    <row r="4" spans="1:8" x14ac:dyDescent="0.3">
      <c r="A4">
        <v>3</v>
      </c>
      <c r="B4">
        <v>220596.295210096</v>
      </c>
      <c r="C4">
        <v>11807.178458656001</v>
      </c>
      <c r="D4">
        <v>36983.184724166502</v>
      </c>
      <c r="E4">
        <v>16270.6813776578</v>
      </c>
      <c r="F4">
        <v>2392.1903849978798</v>
      </c>
      <c r="G4">
        <v>507.793649888733</v>
      </c>
      <c r="H4">
        <v>3933.5058745840302</v>
      </c>
    </row>
    <row r="5" spans="1:8" x14ac:dyDescent="0.3">
      <c r="A5">
        <v>4</v>
      </c>
      <c r="B5">
        <v>195859.26154583201</v>
      </c>
      <c r="C5">
        <v>14830.194981021699</v>
      </c>
      <c r="D5">
        <v>35589.676481370298</v>
      </c>
      <c r="E5">
        <v>16807.606552492802</v>
      </c>
      <c r="F5">
        <v>2126.7828462112702</v>
      </c>
      <c r="G5">
        <v>486.780066489457</v>
      </c>
      <c r="H5">
        <v>4264.8355466832099</v>
      </c>
    </row>
    <row r="6" spans="1:8" x14ac:dyDescent="0.3">
      <c r="A6">
        <v>5</v>
      </c>
      <c r="B6">
        <v>181505.10944819701</v>
      </c>
      <c r="C6">
        <v>16190.482327133501</v>
      </c>
      <c r="D6">
        <v>35828.001581774399</v>
      </c>
      <c r="E6">
        <v>17358.8116283899</v>
      </c>
      <c r="F6">
        <v>1964.9616506063001</v>
      </c>
      <c r="G6">
        <v>505.554506878891</v>
      </c>
      <c r="H6">
        <v>5009.4926180993398</v>
      </c>
    </row>
    <row r="7" spans="1:8" x14ac:dyDescent="0.3">
      <c r="A7">
        <v>6</v>
      </c>
      <c r="B7">
        <v>180598.32366128499</v>
      </c>
      <c r="C7">
        <v>19581.145107347998</v>
      </c>
      <c r="D7">
        <v>40437.961341976697</v>
      </c>
      <c r="E7">
        <v>18138.991360621101</v>
      </c>
      <c r="F7">
        <v>2442.1456611992098</v>
      </c>
      <c r="G7">
        <v>491.00820940670701</v>
      </c>
      <c r="H7">
        <v>5187.61261202276</v>
      </c>
    </row>
    <row r="8" spans="1:8" x14ac:dyDescent="0.3">
      <c r="A8">
        <v>7</v>
      </c>
      <c r="B8">
        <v>172889.022580936</v>
      </c>
      <c r="C8">
        <v>16940.1581398542</v>
      </c>
      <c r="D8">
        <v>36986.798055569401</v>
      </c>
      <c r="E8">
        <v>19136.553330737999</v>
      </c>
      <c r="F8">
        <v>2254.15803885589</v>
      </c>
      <c r="G8">
        <v>502.31901285811603</v>
      </c>
      <c r="H8">
        <v>5391.6456922137604</v>
      </c>
    </row>
    <row r="9" spans="1:8" x14ac:dyDescent="0.3">
      <c r="A9">
        <v>8</v>
      </c>
      <c r="B9">
        <v>177144.291817688</v>
      </c>
      <c r="C9">
        <v>18581.547175976601</v>
      </c>
      <c r="D9">
        <v>41443.011888298199</v>
      </c>
      <c r="E9">
        <v>20147.641748116399</v>
      </c>
      <c r="F9">
        <v>2447.5019696111499</v>
      </c>
      <c r="G9">
        <v>367.32927916627801</v>
      </c>
      <c r="H9">
        <v>5592.1530401606997</v>
      </c>
    </row>
    <row r="10" spans="1:8" x14ac:dyDescent="0.3">
      <c r="A10">
        <v>9</v>
      </c>
      <c r="B10">
        <v>228352.264226642</v>
      </c>
      <c r="C10">
        <v>24290.195946118001</v>
      </c>
      <c r="D10">
        <v>51738.427129301497</v>
      </c>
      <c r="E10">
        <v>20444.843532161001</v>
      </c>
      <c r="F10">
        <v>4776.3650390540397</v>
      </c>
      <c r="G10">
        <v>415.53173883578398</v>
      </c>
      <c r="H10">
        <v>6051.0871868323702</v>
      </c>
    </row>
    <row r="11" spans="1:8" x14ac:dyDescent="0.3">
      <c r="A11">
        <v>10</v>
      </c>
      <c r="B11">
        <v>263420.07468614698</v>
      </c>
      <c r="C11">
        <v>24539.610714779199</v>
      </c>
      <c r="D11">
        <v>55774.094163724003</v>
      </c>
      <c r="E11">
        <v>20390.069446246402</v>
      </c>
      <c r="F11">
        <v>5784.3009072405002</v>
      </c>
      <c r="G11">
        <v>534.97812521378</v>
      </c>
      <c r="H11">
        <v>6589.6734811360902</v>
      </c>
    </row>
    <row r="12" spans="1:8" x14ac:dyDescent="0.3">
      <c r="A12">
        <v>11</v>
      </c>
      <c r="B12">
        <v>256425.156337288</v>
      </c>
      <c r="C12">
        <v>24356.183369014099</v>
      </c>
      <c r="D12">
        <v>55133.508084665598</v>
      </c>
      <c r="E12">
        <v>20267.799560525498</v>
      </c>
      <c r="F12">
        <v>5805.2288175651302</v>
      </c>
      <c r="G12">
        <v>416.15977393304598</v>
      </c>
      <c r="H12">
        <v>6622.1674283346501</v>
      </c>
    </row>
    <row r="13" spans="1:8" x14ac:dyDescent="0.3">
      <c r="A13">
        <v>12</v>
      </c>
      <c r="B13">
        <v>259161.51713739801</v>
      </c>
      <c r="C13">
        <v>22451.5331745597</v>
      </c>
      <c r="D13">
        <v>53190.9104865357</v>
      </c>
      <c r="E13">
        <v>19658.128601783901</v>
      </c>
      <c r="F13">
        <v>4973.1404924150002</v>
      </c>
      <c r="G13">
        <v>398.52813352375301</v>
      </c>
      <c r="H13">
        <v>6342.9798968088098</v>
      </c>
    </row>
    <row r="14" spans="1:8" x14ac:dyDescent="0.3">
      <c r="A14">
        <v>13</v>
      </c>
      <c r="B14">
        <v>311021.77515038499</v>
      </c>
      <c r="C14">
        <v>21474.054125936502</v>
      </c>
      <c r="D14">
        <v>51670.655527665003</v>
      </c>
      <c r="E14">
        <v>18879.315353922899</v>
      </c>
      <c r="F14">
        <v>5247.2087708441904</v>
      </c>
      <c r="G14">
        <v>390.160403509959</v>
      </c>
      <c r="H14">
        <v>5778.5959927787198</v>
      </c>
    </row>
    <row r="15" spans="1:8" x14ac:dyDescent="0.3">
      <c r="A15">
        <v>14</v>
      </c>
      <c r="B15">
        <v>326309.70056020102</v>
      </c>
      <c r="C15">
        <v>20465.742387140799</v>
      </c>
      <c r="D15">
        <v>49164.086600091301</v>
      </c>
      <c r="E15">
        <v>18870.583111259901</v>
      </c>
      <c r="F15">
        <v>4836.3016981524197</v>
      </c>
      <c r="G15">
        <v>367.13426462496102</v>
      </c>
      <c r="H15">
        <v>5326.8533585503801</v>
      </c>
    </row>
    <row r="16" spans="1:8" x14ac:dyDescent="0.3">
      <c r="A16">
        <v>15</v>
      </c>
      <c r="B16">
        <v>353529.03243868001</v>
      </c>
      <c r="C16">
        <v>16439.7224002699</v>
      </c>
      <c r="D16">
        <v>44462.933986389799</v>
      </c>
      <c r="E16">
        <v>18675.585732146701</v>
      </c>
      <c r="F16">
        <v>4504.2755774338802</v>
      </c>
      <c r="G16">
        <v>369.53631467222999</v>
      </c>
      <c r="H16">
        <v>4889.6678724803196</v>
      </c>
    </row>
    <row r="17" spans="1:8" x14ac:dyDescent="0.3">
      <c r="A17">
        <v>16</v>
      </c>
      <c r="B17">
        <v>339306.822950356</v>
      </c>
      <c r="C17">
        <v>16556.338303344401</v>
      </c>
      <c r="D17">
        <v>43091.392051574003</v>
      </c>
      <c r="E17">
        <v>18528.086577784601</v>
      </c>
      <c r="F17">
        <v>3786.3427007463401</v>
      </c>
      <c r="G17">
        <v>474.58523805069302</v>
      </c>
      <c r="H17">
        <v>5192.2179263569496</v>
      </c>
    </row>
    <row r="18" spans="1:8" x14ac:dyDescent="0.3">
      <c r="A18">
        <v>17</v>
      </c>
      <c r="B18">
        <v>340312.99518569099</v>
      </c>
      <c r="C18">
        <v>16253.2425099378</v>
      </c>
      <c r="D18">
        <v>40323.931782745603</v>
      </c>
      <c r="E18">
        <v>18377.998549722699</v>
      </c>
      <c r="F18">
        <v>3614.6029673727198</v>
      </c>
      <c r="G18">
        <v>438.02357036064399</v>
      </c>
      <c r="H18">
        <v>5021.3325626747201</v>
      </c>
    </row>
    <row r="19" spans="1:8" x14ac:dyDescent="0.3">
      <c r="A19">
        <v>18</v>
      </c>
      <c r="B19">
        <v>364282.10074823198</v>
      </c>
      <c r="C19">
        <v>15353.0577160374</v>
      </c>
      <c r="D19">
        <v>41336.895116311804</v>
      </c>
      <c r="E19">
        <v>18618.569265758</v>
      </c>
      <c r="F19">
        <v>3706.4699811405499</v>
      </c>
      <c r="G19">
        <v>400.71082641981798</v>
      </c>
      <c r="H19">
        <v>4851.5373284493298</v>
      </c>
    </row>
    <row r="20" spans="1:8" x14ac:dyDescent="0.3">
      <c r="A20">
        <v>19</v>
      </c>
      <c r="B20">
        <v>367109.50128220598</v>
      </c>
      <c r="C20">
        <v>16500.943717373699</v>
      </c>
      <c r="D20">
        <v>37597.288848484197</v>
      </c>
      <c r="E20">
        <v>18909.296063886999</v>
      </c>
      <c r="F20">
        <v>3191.26322761348</v>
      </c>
      <c r="G20">
        <v>463.04176604612297</v>
      </c>
      <c r="H20">
        <v>4831.6207727347301</v>
      </c>
    </row>
    <row r="21" spans="1:8" x14ac:dyDescent="0.3">
      <c r="A21">
        <v>20</v>
      </c>
      <c r="B21">
        <v>398376.63644685398</v>
      </c>
      <c r="C21">
        <v>16243.1604898402</v>
      </c>
      <c r="D21">
        <v>35128.871919570498</v>
      </c>
      <c r="E21">
        <v>18975.988574519899</v>
      </c>
      <c r="F21">
        <v>2905.0360090986101</v>
      </c>
      <c r="G21">
        <v>522.99681982959896</v>
      </c>
      <c r="H21">
        <v>4815.12257998513</v>
      </c>
    </row>
    <row r="22" spans="1:8" x14ac:dyDescent="0.3">
      <c r="A22">
        <v>21</v>
      </c>
      <c r="B22">
        <v>409234.03882679099</v>
      </c>
      <c r="C22">
        <v>12984.221544448799</v>
      </c>
      <c r="D22">
        <v>34127.3092411584</v>
      </c>
      <c r="E22">
        <v>18889.849201161</v>
      </c>
      <c r="F22">
        <v>3574.86598715338</v>
      </c>
      <c r="G22">
        <v>494.13904353991597</v>
      </c>
      <c r="H22">
        <v>4764.6470141927803</v>
      </c>
    </row>
    <row r="23" spans="1:8" x14ac:dyDescent="0.3">
      <c r="A23">
        <v>22</v>
      </c>
      <c r="B23">
        <v>426150.58143392298</v>
      </c>
      <c r="C23">
        <v>13317.3331596269</v>
      </c>
      <c r="D23">
        <v>31832.740280329599</v>
      </c>
      <c r="E23">
        <v>18950.853299817401</v>
      </c>
      <c r="F23">
        <v>3060.8825483034898</v>
      </c>
      <c r="G23">
        <v>690.82368281259699</v>
      </c>
      <c r="H23">
        <v>4794.0354623986204</v>
      </c>
    </row>
    <row r="24" spans="1:8" x14ac:dyDescent="0.3">
      <c r="A24">
        <v>23</v>
      </c>
      <c r="B24">
        <v>433769.628307448</v>
      </c>
      <c r="C24">
        <v>13883.00805122</v>
      </c>
      <c r="D24">
        <v>29839.026085713798</v>
      </c>
      <c r="E24">
        <v>19409.0247789897</v>
      </c>
      <c r="F24">
        <v>2692.3920437997199</v>
      </c>
      <c r="G24">
        <v>695.88187191176496</v>
      </c>
      <c r="H24">
        <v>4956.9528341304404</v>
      </c>
    </row>
    <row r="25" spans="1:8" x14ac:dyDescent="0.3">
      <c r="A25">
        <v>24</v>
      </c>
      <c r="B25">
        <v>434617.33297327301</v>
      </c>
      <c r="C25">
        <v>14260.343783910101</v>
      </c>
      <c r="D25">
        <v>28497.875246075</v>
      </c>
      <c r="E25">
        <v>19408.158002775399</v>
      </c>
      <c r="F25">
        <v>2422.0187774709302</v>
      </c>
      <c r="G25">
        <v>754.83392001283903</v>
      </c>
      <c r="H25">
        <v>5038.1341947464898</v>
      </c>
    </row>
    <row r="26" spans="1:8" x14ac:dyDescent="0.3">
      <c r="A26">
        <v>25</v>
      </c>
      <c r="B26">
        <v>445805.67737779202</v>
      </c>
      <c r="C26">
        <v>13801.5206178876</v>
      </c>
      <c r="D26">
        <v>26182.877909144001</v>
      </c>
      <c r="E26">
        <v>19501.291632877201</v>
      </c>
      <c r="F26">
        <v>2387.00317780777</v>
      </c>
      <c r="G26">
        <v>770.21798041735701</v>
      </c>
      <c r="H26">
        <v>5091.8190120668296</v>
      </c>
    </row>
    <row r="27" spans="1:8" x14ac:dyDescent="0.3">
      <c r="A27">
        <v>26</v>
      </c>
      <c r="B27">
        <v>451221.385163381</v>
      </c>
      <c r="C27">
        <v>12605.1890393841</v>
      </c>
      <c r="D27">
        <v>25180.682938644699</v>
      </c>
      <c r="E27">
        <v>19053.721093826702</v>
      </c>
      <c r="F27">
        <v>2383.7278957517701</v>
      </c>
      <c r="G27">
        <v>737.27901995506602</v>
      </c>
      <c r="H27">
        <v>5113.40596336817</v>
      </c>
    </row>
    <row r="28" spans="1:8" x14ac:dyDescent="0.3">
      <c r="A28">
        <v>27</v>
      </c>
      <c r="B28">
        <v>449722.39054497599</v>
      </c>
      <c r="C28">
        <v>12031.3000830009</v>
      </c>
      <c r="D28">
        <v>23707.6778606236</v>
      </c>
      <c r="E28">
        <v>19162.933708889101</v>
      </c>
      <c r="F28">
        <v>2391.1690442884301</v>
      </c>
      <c r="G28">
        <v>650.57341358932501</v>
      </c>
      <c r="H28">
        <v>5142.8962536151103</v>
      </c>
    </row>
    <row r="29" spans="1:8" x14ac:dyDescent="0.3">
      <c r="A29">
        <v>28</v>
      </c>
      <c r="B29">
        <v>450705.35048307502</v>
      </c>
      <c r="C29">
        <v>12137.993536064299</v>
      </c>
      <c r="D29">
        <v>21255.472932852001</v>
      </c>
      <c r="E29">
        <v>18148.367787420098</v>
      </c>
      <c r="F29">
        <v>2599.49741814756</v>
      </c>
      <c r="G29">
        <v>408.94320639530901</v>
      </c>
      <c r="H29">
        <v>5154.8680690272704</v>
      </c>
    </row>
    <row r="30" spans="1:8" x14ac:dyDescent="0.3">
      <c r="A30">
        <v>29</v>
      </c>
      <c r="B30">
        <v>449458.47177441698</v>
      </c>
      <c r="C30">
        <v>10461.705052617601</v>
      </c>
      <c r="D30">
        <v>18513.286338862101</v>
      </c>
      <c r="E30">
        <v>17453.164937448601</v>
      </c>
      <c r="F30">
        <v>2594.4803130608798</v>
      </c>
      <c r="G30">
        <v>502.75278866188103</v>
      </c>
      <c r="H30">
        <v>5060.7485321505801</v>
      </c>
    </row>
    <row r="31" spans="1:8" x14ac:dyDescent="0.3">
      <c r="A31">
        <v>30</v>
      </c>
      <c r="B31">
        <v>434832.96239589201</v>
      </c>
      <c r="C31">
        <v>10108.423653899399</v>
      </c>
      <c r="D31">
        <v>17129.114604446</v>
      </c>
      <c r="E31">
        <v>17208.515043301901</v>
      </c>
      <c r="F31">
        <v>2484.36689225588</v>
      </c>
      <c r="G31">
        <v>402.29871725665299</v>
      </c>
      <c r="H31">
        <v>4994.1826296383997</v>
      </c>
    </row>
    <row r="32" spans="1:8" x14ac:dyDescent="0.3">
      <c r="A32">
        <v>31</v>
      </c>
      <c r="B32">
        <v>396065.21025803499</v>
      </c>
      <c r="C32">
        <v>10954.6204929141</v>
      </c>
      <c r="D32">
        <v>16210.110855646801</v>
      </c>
      <c r="E32">
        <v>16743.460623437899</v>
      </c>
      <c r="F32">
        <v>2343.9405141642601</v>
      </c>
      <c r="G32">
        <v>451.00404060982697</v>
      </c>
      <c r="H32">
        <v>4824.7034183690403</v>
      </c>
    </row>
    <row r="33" spans="1:8" x14ac:dyDescent="0.3">
      <c r="A33">
        <v>32</v>
      </c>
      <c r="B33">
        <v>359606.20379175601</v>
      </c>
      <c r="C33">
        <v>10487.567354786401</v>
      </c>
      <c r="D33">
        <v>15783.975413615801</v>
      </c>
      <c r="E33">
        <v>16584.943587267298</v>
      </c>
      <c r="F33">
        <v>2292.9230955851799</v>
      </c>
      <c r="G33">
        <v>412.01842686274603</v>
      </c>
      <c r="H33">
        <v>4741.3005711939304</v>
      </c>
    </row>
    <row r="34" spans="1:8" x14ac:dyDescent="0.3">
      <c r="A34">
        <v>33</v>
      </c>
      <c r="B34">
        <v>347858.21507215098</v>
      </c>
      <c r="C34">
        <v>11007.793131758801</v>
      </c>
      <c r="D34">
        <v>15302.797285893301</v>
      </c>
      <c r="E34">
        <v>16535.515780406</v>
      </c>
      <c r="F34">
        <v>2123.6616172681602</v>
      </c>
      <c r="G34">
        <v>427.81730408204999</v>
      </c>
      <c r="H34">
        <v>4677.2257283737999</v>
      </c>
    </row>
    <row r="35" spans="1:8" x14ac:dyDescent="0.3">
      <c r="A35">
        <v>34</v>
      </c>
      <c r="B35">
        <v>339692.56440087297</v>
      </c>
      <c r="C35">
        <v>10943.461651084999</v>
      </c>
      <c r="D35">
        <v>15414.398606316599</v>
      </c>
      <c r="E35">
        <v>16654.480087015701</v>
      </c>
      <c r="F35">
        <v>2107.5700623134198</v>
      </c>
      <c r="G35">
        <v>363.74895150910402</v>
      </c>
      <c r="H35">
        <v>4762.3847328968404</v>
      </c>
    </row>
    <row r="36" spans="1:8" x14ac:dyDescent="0.3">
      <c r="A36">
        <v>35</v>
      </c>
      <c r="B36">
        <v>331485.55826353998</v>
      </c>
      <c r="C36">
        <v>10767.576533736499</v>
      </c>
      <c r="D36">
        <v>15405.8785497236</v>
      </c>
      <c r="E36">
        <v>16672.992365578601</v>
      </c>
      <c r="F36">
        <v>2117.8639990407601</v>
      </c>
      <c r="G36">
        <v>359.24834614554197</v>
      </c>
      <c r="H36">
        <v>4747.51859313772</v>
      </c>
    </row>
    <row r="37" spans="1:8" x14ac:dyDescent="0.3">
      <c r="A37">
        <v>36</v>
      </c>
      <c r="B37">
        <v>343733.97472121002</v>
      </c>
      <c r="C37">
        <v>10580.726309783</v>
      </c>
      <c r="D37">
        <v>15296.746233119</v>
      </c>
      <c r="E37">
        <v>16620.549736194698</v>
      </c>
      <c r="F37">
        <v>1749.64808376717</v>
      </c>
      <c r="G37">
        <v>405.416314786415</v>
      </c>
      <c r="H37">
        <v>4649.5890165852998</v>
      </c>
    </row>
    <row r="38" spans="1:8" x14ac:dyDescent="0.3">
      <c r="A38">
        <v>37</v>
      </c>
      <c r="B38">
        <v>330635.36501705</v>
      </c>
      <c r="C38">
        <v>9464.6454468220709</v>
      </c>
      <c r="D38">
        <v>16236.1124574519</v>
      </c>
      <c r="E38">
        <v>16187.447154785399</v>
      </c>
      <c r="F38">
        <v>1521.5540892438501</v>
      </c>
      <c r="G38">
        <v>377.84197098214298</v>
      </c>
      <c r="H38">
        <v>4362.6117390745403</v>
      </c>
    </row>
    <row r="39" spans="1:8" x14ac:dyDescent="0.3">
      <c r="A39">
        <v>38</v>
      </c>
      <c r="B39">
        <v>314039.578735299</v>
      </c>
      <c r="C39">
        <v>7180.31433452896</v>
      </c>
      <c r="D39">
        <v>16460.062383160399</v>
      </c>
      <c r="E39">
        <v>14961.655143501999</v>
      </c>
      <c r="F39">
        <v>1714.15266481925</v>
      </c>
      <c r="G39">
        <v>453.91759027427702</v>
      </c>
      <c r="H39">
        <v>3642.4941891200301</v>
      </c>
    </row>
    <row r="40" spans="1:8" x14ac:dyDescent="0.3">
      <c r="A40">
        <v>39</v>
      </c>
      <c r="B40">
        <v>311851.45844936202</v>
      </c>
      <c r="C40">
        <v>8667.4838746646492</v>
      </c>
      <c r="D40">
        <v>16481.703685241599</v>
      </c>
      <c r="E40">
        <v>15592.1259447623</v>
      </c>
      <c r="F40">
        <v>1566.2699829466401</v>
      </c>
      <c r="G40">
        <v>648.66479609943997</v>
      </c>
      <c r="H40">
        <v>3579.0593595465102</v>
      </c>
    </row>
    <row r="41" spans="1:8" x14ac:dyDescent="0.3">
      <c r="A41">
        <v>40</v>
      </c>
      <c r="B41">
        <v>331731.65886159299</v>
      </c>
      <c r="C41">
        <v>6704.5449645174303</v>
      </c>
      <c r="D41">
        <v>17089.9768122356</v>
      </c>
      <c r="E41">
        <v>14480.269067203501</v>
      </c>
      <c r="F41">
        <v>1527.4542149533499</v>
      </c>
      <c r="G41">
        <v>640.088130598156</v>
      </c>
      <c r="H41">
        <v>3359.5882067561902</v>
      </c>
    </row>
    <row r="42" spans="1:8" x14ac:dyDescent="0.3">
      <c r="A42">
        <v>41</v>
      </c>
      <c r="B42">
        <v>359744.63588968001</v>
      </c>
      <c r="C42">
        <v>6665.7244751264698</v>
      </c>
      <c r="D42">
        <v>18310.394549943201</v>
      </c>
      <c r="E42">
        <v>14251.6052611827</v>
      </c>
      <c r="F42">
        <v>1603.86316040977</v>
      </c>
      <c r="G42">
        <v>714.51110252392698</v>
      </c>
      <c r="H42">
        <v>3323.8573871564399</v>
      </c>
    </row>
    <row r="43" spans="1:8" x14ac:dyDescent="0.3">
      <c r="A43">
        <v>42</v>
      </c>
      <c r="B43">
        <v>367517.179687745</v>
      </c>
      <c r="C43">
        <v>7272.0705120558096</v>
      </c>
      <c r="D43">
        <v>21020.926294305598</v>
      </c>
      <c r="E43">
        <v>13509.4788678808</v>
      </c>
      <c r="F43">
        <v>1702.7696385101999</v>
      </c>
      <c r="G43">
        <v>444.00210223117</v>
      </c>
      <c r="H43">
        <v>3610.1394280946702</v>
      </c>
    </row>
    <row r="44" spans="1:8" x14ac:dyDescent="0.3">
      <c r="A44">
        <v>43</v>
      </c>
      <c r="B44">
        <v>377027.77829319</v>
      </c>
      <c r="C44">
        <v>9088.1851984261393</v>
      </c>
      <c r="D44">
        <v>23313.145216653</v>
      </c>
      <c r="E44">
        <v>13273.851435201101</v>
      </c>
      <c r="F44">
        <v>2039.0069013682401</v>
      </c>
      <c r="G44">
        <v>339.25200578976097</v>
      </c>
      <c r="H44">
        <v>3566.3914889057</v>
      </c>
    </row>
    <row r="45" spans="1:8" x14ac:dyDescent="0.3">
      <c r="A45">
        <v>44</v>
      </c>
      <c r="B45">
        <v>378590.95486031199</v>
      </c>
      <c r="C45">
        <v>10614.8878143202</v>
      </c>
      <c r="D45">
        <v>23564.970997515298</v>
      </c>
      <c r="E45">
        <v>12328.3510960434</v>
      </c>
      <c r="F45">
        <v>1969.19091382752</v>
      </c>
      <c r="G45">
        <v>311.18312826525101</v>
      </c>
      <c r="H45">
        <v>3314.3464635303098</v>
      </c>
    </row>
    <row r="46" spans="1:8" x14ac:dyDescent="0.3">
      <c r="A46">
        <v>45</v>
      </c>
      <c r="B46">
        <v>371436.53903103003</v>
      </c>
      <c r="C46">
        <v>11522.213352787499</v>
      </c>
      <c r="D46">
        <v>25652.065143095198</v>
      </c>
      <c r="E46">
        <v>11994.497184464701</v>
      </c>
      <c r="F46">
        <v>2156.3796200561501</v>
      </c>
      <c r="G46">
        <v>253.78955710453599</v>
      </c>
      <c r="H46">
        <v>3283.9291764013201</v>
      </c>
    </row>
    <row r="47" spans="1:8" x14ac:dyDescent="0.3">
      <c r="A47">
        <v>46</v>
      </c>
      <c r="B47">
        <v>344725.025706304</v>
      </c>
      <c r="C47">
        <v>13432.0623078399</v>
      </c>
      <c r="D47">
        <v>30570.506691172301</v>
      </c>
      <c r="E47">
        <v>12105.102191493001</v>
      </c>
      <c r="F47">
        <v>2144.24012416798</v>
      </c>
      <c r="G47">
        <v>354.936712105315</v>
      </c>
      <c r="H47">
        <v>3340.35119521263</v>
      </c>
    </row>
    <row r="48" spans="1:8" x14ac:dyDescent="0.3">
      <c r="A48">
        <v>47</v>
      </c>
      <c r="B48">
        <v>330971.581117942</v>
      </c>
      <c r="C48">
        <v>15029.3594226359</v>
      </c>
      <c r="D48">
        <v>33199.940832081098</v>
      </c>
      <c r="E48">
        <v>12514.767080432899</v>
      </c>
      <c r="F48">
        <v>2033.8367239269501</v>
      </c>
      <c r="G48">
        <v>366.53926744569299</v>
      </c>
      <c r="H48">
        <v>3402.9756759402699</v>
      </c>
    </row>
    <row r="49" spans="1:8" x14ac:dyDescent="0.3">
      <c r="A49">
        <v>48</v>
      </c>
      <c r="B49">
        <v>313736.55108427099</v>
      </c>
      <c r="C49">
        <v>15106.00477109</v>
      </c>
      <c r="D49">
        <v>34145.020154774</v>
      </c>
      <c r="E49">
        <v>13831.930883733899</v>
      </c>
      <c r="F49">
        <v>1942.92301435021</v>
      </c>
      <c r="G49">
        <v>343.27385568841402</v>
      </c>
      <c r="H49">
        <v>3509.3245030093599</v>
      </c>
    </row>
    <row r="50" spans="1:8" x14ac:dyDescent="0.3">
      <c r="A50">
        <v>49</v>
      </c>
      <c r="B50">
        <v>303283.96073635202</v>
      </c>
      <c r="C50">
        <v>15253.603184686601</v>
      </c>
      <c r="D50">
        <v>35222.551625821798</v>
      </c>
      <c r="E50">
        <v>16271.988455373899</v>
      </c>
      <c r="F50">
        <v>2684.3543020504599</v>
      </c>
      <c r="G50">
        <v>443.76990594187703</v>
      </c>
      <c r="H50">
        <v>4171.2125270549705</v>
      </c>
    </row>
    <row r="51" spans="1:8" x14ac:dyDescent="0.3">
      <c r="A51">
        <v>50</v>
      </c>
      <c r="B51">
        <v>263409.807468638</v>
      </c>
      <c r="C51">
        <v>14984.777960818499</v>
      </c>
      <c r="D51">
        <v>36639.806014688002</v>
      </c>
      <c r="E51">
        <v>17404.057089476701</v>
      </c>
      <c r="F51">
        <v>3476.6563897175201</v>
      </c>
      <c r="G51">
        <v>540.02321854633499</v>
      </c>
      <c r="H51">
        <v>4244.6795190389303</v>
      </c>
    </row>
    <row r="52" spans="1:8" x14ac:dyDescent="0.3">
      <c r="A52">
        <v>51</v>
      </c>
      <c r="B52">
        <v>234547.17546733399</v>
      </c>
      <c r="C52">
        <v>15174.979702508501</v>
      </c>
      <c r="D52">
        <v>37223.443729226099</v>
      </c>
      <c r="E52">
        <v>17770.103661991001</v>
      </c>
      <c r="F52">
        <v>2945.0611291016398</v>
      </c>
      <c r="G52">
        <v>538.93094159060797</v>
      </c>
      <c r="H52">
        <v>4239.6130698714296</v>
      </c>
    </row>
    <row r="53" spans="1:8" x14ac:dyDescent="0.3">
      <c r="A53">
        <v>52</v>
      </c>
      <c r="B53">
        <v>215048.012602309</v>
      </c>
      <c r="C53">
        <v>14339.2515357964</v>
      </c>
      <c r="D53">
        <v>39122.824795160399</v>
      </c>
      <c r="E53">
        <v>17874.890057197099</v>
      </c>
      <c r="F53">
        <v>2910.3292633430701</v>
      </c>
      <c r="G53">
        <v>512.43566202322597</v>
      </c>
      <c r="H53">
        <v>4663.4812334080598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3"/>
  <sheetViews>
    <sheetView zoomScaleNormal="100" workbookViewId="0">
      <selection activeCell="L1" sqref="L1:S3"/>
    </sheetView>
  </sheetViews>
  <sheetFormatPr defaultColWidth="10.109375" defaultRowHeight="14.4" x14ac:dyDescent="0.3"/>
  <cols>
    <col min="1" max="1" width="8.5546875" customWidth="1"/>
  </cols>
  <sheetData>
    <row r="1" spans="1:8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A2">
        <v>1</v>
      </c>
      <c r="B2">
        <v>278347.91260460898</v>
      </c>
      <c r="C2">
        <v>6864.7050782709903</v>
      </c>
      <c r="D2">
        <v>26973.783153928001</v>
      </c>
      <c r="E2">
        <v>2343.1268796764398</v>
      </c>
      <c r="F2">
        <v>236.405434039379</v>
      </c>
      <c r="G2">
        <v>1043.87317394928</v>
      </c>
      <c r="H2">
        <v>0</v>
      </c>
    </row>
    <row r="3" spans="1:8" x14ac:dyDescent="0.3">
      <c r="A3">
        <v>2</v>
      </c>
      <c r="B3">
        <v>258632.56347922899</v>
      </c>
      <c r="C3">
        <v>5923.95482780565</v>
      </c>
      <c r="D3">
        <v>26821.575716704501</v>
      </c>
      <c r="E3">
        <v>2531.89007215325</v>
      </c>
      <c r="F3">
        <v>227.014405055428</v>
      </c>
      <c r="G3">
        <v>1174.1650277741901</v>
      </c>
      <c r="H3">
        <v>0</v>
      </c>
    </row>
    <row r="4" spans="1:8" x14ac:dyDescent="0.3">
      <c r="A4">
        <v>3</v>
      </c>
      <c r="B4">
        <v>250836.50827450401</v>
      </c>
      <c r="C4">
        <v>6640.1825131723299</v>
      </c>
      <c r="D4">
        <v>29148.285576053899</v>
      </c>
      <c r="E4">
        <v>2536.8711617559802</v>
      </c>
      <c r="F4">
        <v>224.50128480443399</v>
      </c>
      <c r="G4">
        <v>1285.4518903558801</v>
      </c>
      <c r="H4">
        <v>0</v>
      </c>
    </row>
    <row r="5" spans="1:8" x14ac:dyDescent="0.3">
      <c r="A5">
        <v>4</v>
      </c>
      <c r="B5">
        <v>231723.93259807999</v>
      </c>
      <c r="C5">
        <v>5816.0892505762304</v>
      </c>
      <c r="D5">
        <v>27310.597083353099</v>
      </c>
      <c r="E5">
        <v>2401.0210956259798</v>
      </c>
      <c r="F5">
        <v>234.81359318290001</v>
      </c>
      <c r="G5">
        <v>1424.3449359901399</v>
      </c>
      <c r="H5">
        <v>0</v>
      </c>
    </row>
    <row r="6" spans="1:8" x14ac:dyDescent="0.3">
      <c r="A6">
        <v>5</v>
      </c>
      <c r="B6">
        <v>207305.50760652401</v>
      </c>
      <c r="C6">
        <v>5043.4374396630601</v>
      </c>
      <c r="D6">
        <v>25841.152803139801</v>
      </c>
      <c r="E6">
        <v>2374.7150145238902</v>
      </c>
      <c r="F6">
        <v>336.05286740114201</v>
      </c>
      <c r="G6">
        <v>1521.8706426982999</v>
      </c>
      <c r="H6">
        <v>0</v>
      </c>
    </row>
    <row r="7" spans="1:8" x14ac:dyDescent="0.3">
      <c r="A7">
        <v>6</v>
      </c>
      <c r="B7">
        <v>223651.48189944599</v>
      </c>
      <c r="C7">
        <v>5865.04032347254</v>
      </c>
      <c r="D7">
        <v>30343.6180968669</v>
      </c>
      <c r="E7">
        <v>2427.9171237231099</v>
      </c>
      <c r="F7">
        <v>225.614526202039</v>
      </c>
      <c r="G7">
        <v>1437.3950103171101</v>
      </c>
      <c r="H7">
        <v>0</v>
      </c>
    </row>
    <row r="8" spans="1:8" x14ac:dyDescent="0.3">
      <c r="A8">
        <v>7</v>
      </c>
      <c r="B8">
        <v>209516.044708509</v>
      </c>
      <c r="C8">
        <v>5339.0390612726096</v>
      </c>
      <c r="D8">
        <v>28310.028124035602</v>
      </c>
      <c r="E8">
        <v>2380.5001677793998</v>
      </c>
      <c r="F8">
        <v>232.478316805421</v>
      </c>
      <c r="G8">
        <v>1466.73614215206</v>
      </c>
      <c r="H8">
        <v>0</v>
      </c>
    </row>
    <row r="9" spans="1:8" x14ac:dyDescent="0.3">
      <c r="A9">
        <v>8</v>
      </c>
      <c r="B9">
        <v>222646.69976232201</v>
      </c>
      <c r="C9">
        <v>5536.9604685102904</v>
      </c>
      <c r="D9">
        <v>30086.667765024798</v>
      </c>
      <c r="E9">
        <v>2485.5075121887098</v>
      </c>
      <c r="F9">
        <v>225.49897324392199</v>
      </c>
      <c r="G9">
        <v>1711.4560184961999</v>
      </c>
      <c r="H9">
        <v>0</v>
      </c>
    </row>
    <row r="10" spans="1:8" x14ac:dyDescent="0.3">
      <c r="A10">
        <v>9</v>
      </c>
      <c r="B10">
        <v>272083.46795486601</v>
      </c>
      <c r="C10">
        <v>8907.2008516213591</v>
      </c>
      <c r="D10">
        <v>35099.864476648901</v>
      </c>
      <c r="E10">
        <v>2791.7898057161101</v>
      </c>
      <c r="F10">
        <v>579.63689320564197</v>
      </c>
      <c r="G10">
        <v>1747.92622109943</v>
      </c>
      <c r="H10">
        <v>0</v>
      </c>
    </row>
    <row r="11" spans="1:8" x14ac:dyDescent="0.3">
      <c r="A11">
        <v>10</v>
      </c>
      <c r="B11">
        <v>302962.181749549</v>
      </c>
      <c r="C11">
        <v>9622.7219666195397</v>
      </c>
      <c r="D11">
        <v>39274.949462389202</v>
      </c>
      <c r="E11">
        <v>2761.18122853149</v>
      </c>
      <c r="F11">
        <v>776.14962566912504</v>
      </c>
      <c r="G11">
        <v>1803.6431823200201</v>
      </c>
      <c r="H11">
        <v>0</v>
      </c>
    </row>
    <row r="12" spans="1:8" x14ac:dyDescent="0.3">
      <c r="A12">
        <v>11</v>
      </c>
      <c r="B12">
        <v>308888.95977916103</v>
      </c>
      <c r="C12">
        <v>8893.6043376339003</v>
      </c>
      <c r="D12">
        <v>38364.605289736399</v>
      </c>
      <c r="E12">
        <v>2733.0384814065301</v>
      </c>
      <c r="F12">
        <v>770.86010595649202</v>
      </c>
      <c r="G12">
        <v>1641.5764663213899</v>
      </c>
      <c r="H12">
        <v>0</v>
      </c>
    </row>
    <row r="13" spans="1:8" x14ac:dyDescent="0.3">
      <c r="A13">
        <v>12</v>
      </c>
      <c r="B13">
        <v>331441.17227679101</v>
      </c>
      <c r="C13">
        <v>7834.7229507551301</v>
      </c>
      <c r="D13">
        <v>36400.203215838097</v>
      </c>
      <c r="E13">
        <v>2606.4347733285299</v>
      </c>
      <c r="F13">
        <v>743.54948922693404</v>
      </c>
      <c r="G13">
        <v>1510.0197080559401</v>
      </c>
      <c r="H13">
        <v>0</v>
      </c>
    </row>
    <row r="14" spans="1:8" x14ac:dyDescent="0.3">
      <c r="A14">
        <v>13</v>
      </c>
      <c r="B14">
        <v>347915.296478451</v>
      </c>
      <c r="C14">
        <v>9216.8706615042702</v>
      </c>
      <c r="D14">
        <v>37102.950396694599</v>
      </c>
      <c r="E14">
        <v>2514.64010908813</v>
      </c>
      <c r="F14">
        <v>770.47116940187698</v>
      </c>
      <c r="G14">
        <v>1389.1064189623501</v>
      </c>
      <c r="H14">
        <v>0</v>
      </c>
    </row>
    <row r="15" spans="1:8" x14ac:dyDescent="0.3">
      <c r="A15">
        <v>14</v>
      </c>
      <c r="B15">
        <v>410232.14572643198</v>
      </c>
      <c r="C15">
        <v>8429.4081284614203</v>
      </c>
      <c r="D15">
        <v>34930.863178039399</v>
      </c>
      <c r="E15">
        <v>2366.0182058430801</v>
      </c>
      <c r="F15">
        <v>740.20660478752995</v>
      </c>
      <c r="G15">
        <v>1249.6573621049799</v>
      </c>
      <c r="H15">
        <v>0</v>
      </c>
    </row>
    <row r="16" spans="1:8" x14ac:dyDescent="0.3">
      <c r="A16">
        <v>15</v>
      </c>
      <c r="B16">
        <v>513829.15818695602</v>
      </c>
      <c r="C16">
        <v>6641.96001426361</v>
      </c>
      <c r="D16">
        <v>30655.8527460765</v>
      </c>
      <c r="E16">
        <v>2235.6732502940799</v>
      </c>
      <c r="F16">
        <v>763.395170080095</v>
      </c>
      <c r="G16">
        <v>917.60806235172402</v>
      </c>
      <c r="H16">
        <v>0</v>
      </c>
    </row>
    <row r="17" spans="1:8" x14ac:dyDescent="0.3">
      <c r="A17">
        <v>16</v>
      </c>
      <c r="B17">
        <v>445517.72410626098</v>
      </c>
      <c r="C17">
        <v>6353.6578912636596</v>
      </c>
      <c r="D17">
        <v>32327.8486711068</v>
      </c>
      <c r="E17">
        <v>2399.1077142143099</v>
      </c>
      <c r="F17">
        <v>724.48765267948897</v>
      </c>
      <c r="G17">
        <v>909.33115875291003</v>
      </c>
      <c r="H17">
        <v>0</v>
      </c>
    </row>
    <row r="18" spans="1:8" x14ac:dyDescent="0.3">
      <c r="A18">
        <v>17</v>
      </c>
      <c r="B18">
        <v>374742.154249607</v>
      </c>
      <c r="C18">
        <v>7198.7489047720301</v>
      </c>
      <c r="D18">
        <v>31658.044128536701</v>
      </c>
      <c r="E18">
        <v>2296.8657018734498</v>
      </c>
      <c r="F18">
        <v>721.42338922541296</v>
      </c>
      <c r="G18">
        <v>872.27295638678504</v>
      </c>
      <c r="H18">
        <v>0</v>
      </c>
    </row>
    <row r="19" spans="1:8" x14ac:dyDescent="0.3">
      <c r="A19">
        <v>18</v>
      </c>
      <c r="B19">
        <v>419293.79268182098</v>
      </c>
      <c r="C19">
        <v>8140.52682558162</v>
      </c>
      <c r="D19">
        <v>33212.670711322899</v>
      </c>
      <c r="E19">
        <v>2197.7072086107701</v>
      </c>
      <c r="F19">
        <v>746.69624521729497</v>
      </c>
      <c r="G19">
        <v>849.26021201730998</v>
      </c>
      <c r="H19">
        <v>0</v>
      </c>
    </row>
    <row r="20" spans="1:8" x14ac:dyDescent="0.3">
      <c r="A20">
        <v>19</v>
      </c>
      <c r="B20">
        <v>520460.59219486901</v>
      </c>
      <c r="C20">
        <v>6976.4597422329598</v>
      </c>
      <c r="D20">
        <v>31442.198814664702</v>
      </c>
      <c r="E20">
        <v>2448.2884059759399</v>
      </c>
      <c r="F20">
        <v>766.88118620898103</v>
      </c>
      <c r="G20">
        <v>940.45569306399398</v>
      </c>
      <c r="H20">
        <v>0</v>
      </c>
    </row>
    <row r="21" spans="1:8" x14ac:dyDescent="0.3">
      <c r="A21">
        <v>20</v>
      </c>
      <c r="B21">
        <v>583537.75222032994</v>
      </c>
      <c r="C21">
        <v>6140.4610465679598</v>
      </c>
      <c r="D21">
        <v>30285.8853409531</v>
      </c>
      <c r="E21">
        <v>2171.20201224225</v>
      </c>
      <c r="F21">
        <v>969.87980920209304</v>
      </c>
      <c r="G21">
        <v>1054.0210852095499</v>
      </c>
      <c r="H21">
        <v>0</v>
      </c>
    </row>
    <row r="22" spans="1:8" x14ac:dyDescent="0.3">
      <c r="A22">
        <v>21</v>
      </c>
      <c r="B22">
        <v>600529.49944546097</v>
      </c>
      <c r="C22">
        <v>6542.8883659594303</v>
      </c>
      <c r="D22">
        <v>30039.338971727699</v>
      </c>
      <c r="E22">
        <v>2041.78182336379</v>
      </c>
      <c r="F22">
        <v>989.29513095324</v>
      </c>
      <c r="G22">
        <v>986.62452075766396</v>
      </c>
      <c r="H22">
        <v>0</v>
      </c>
    </row>
    <row r="23" spans="1:8" x14ac:dyDescent="0.3">
      <c r="A23">
        <v>22</v>
      </c>
      <c r="B23">
        <v>606189.37796860398</v>
      </c>
      <c r="C23">
        <v>5795.7422584625101</v>
      </c>
      <c r="D23">
        <v>28744.395587628798</v>
      </c>
      <c r="E23">
        <v>1914.2619477114899</v>
      </c>
      <c r="F23">
        <v>1193.7845972905</v>
      </c>
      <c r="G23">
        <v>1199.75549435383</v>
      </c>
      <c r="H23">
        <v>0</v>
      </c>
    </row>
    <row r="24" spans="1:8" x14ac:dyDescent="0.3">
      <c r="A24">
        <v>23</v>
      </c>
      <c r="B24">
        <v>622711.980844434</v>
      </c>
      <c r="C24">
        <v>4507.4139027438496</v>
      </c>
      <c r="D24">
        <v>26459.2652420417</v>
      </c>
      <c r="E24">
        <v>1705.1019903332201</v>
      </c>
      <c r="F24">
        <v>1343.8812920585201</v>
      </c>
      <c r="G24">
        <v>1444.1810080251701</v>
      </c>
      <c r="H24">
        <v>0</v>
      </c>
    </row>
    <row r="25" spans="1:8" x14ac:dyDescent="0.3">
      <c r="A25">
        <v>24</v>
      </c>
      <c r="B25">
        <v>617545.11898424604</v>
      </c>
      <c r="C25">
        <v>3849.5081500158499</v>
      </c>
      <c r="D25">
        <v>25221.466938349298</v>
      </c>
      <c r="E25">
        <v>1487.2100056902</v>
      </c>
      <c r="F25">
        <v>1317.8012964869299</v>
      </c>
      <c r="G25">
        <v>1727.2419238474199</v>
      </c>
      <c r="H25">
        <v>0</v>
      </c>
    </row>
    <row r="26" spans="1:8" x14ac:dyDescent="0.3">
      <c r="A26">
        <v>25</v>
      </c>
      <c r="B26">
        <v>617847.21996484103</v>
      </c>
      <c r="C26">
        <v>3303.1817242973898</v>
      </c>
      <c r="D26">
        <v>22496.103867835602</v>
      </c>
      <c r="E26">
        <v>1225.74969339585</v>
      </c>
      <c r="F26">
        <v>1546.79916229371</v>
      </c>
      <c r="G26">
        <v>2245.6992982827401</v>
      </c>
      <c r="H26">
        <v>0</v>
      </c>
    </row>
    <row r="27" spans="1:8" x14ac:dyDescent="0.3">
      <c r="A27">
        <v>26</v>
      </c>
      <c r="B27">
        <v>604984.45763226703</v>
      </c>
      <c r="C27">
        <v>3402.7405486780099</v>
      </c>
      <c r="D27">
        <v>21942.377536789099</v>
      </c>
      <c r="E27">
        <v>1196.84921318183</v>
      </c>
      <c r="F27">
        <v>1384.9193926865801</v>
      </c>
      <c r="G27">
        <v>2350.17542664644</v>
      </c>
      <c r="H27">
        <v>0</v>
      </c>
    </row>
    <row r="28" spans="1:8" x14ac:dyDescent="0.3">
      <c r="A28">
        <v>27</v>
      </c>
      <c r="B28">
        <v>590857.724276072</v>
      </c>
      <c r="C28">
        <v>3101.06257624523</v>
      </c>
      <c r="D28">
        <v>21478.436680882602</v>
      </c>
      <c r="E28">
        <v>1239.0376936973</v>
      </c>
      <c r="F28">
        <v>1366.3994502212499</v>
      </c>
      <c r="G28">
        <v>2363.3625045785898</v>
      </c>
      <c r="H28">
        <v>0</v>
      </c>
    </row>
    <row r="29" spans="1:8" x14ac:dyDescent="0.3">
      <c r="A29">
        <v>28</v>
      </c>
      <c r="B29">
        <v>558944.07841599802</v>
      </c>
      <c r="C29">
        <v>2877.9730990889302</v>
      </c>
      <c r="D29">
        <v>20302.771789295599</v>
      </c>
      <c r="E29">
        <v>961.02528835974101</v>
      </c>
      <c r="F29">
        <v>1888.6691423447201</v>
      </c>
      <c r="G29">
        <v>2440.79162027351</v>
      </c>
      <c r="H29">
        <v>0</v>
      </c>
    </row>
    <row r="30" spans="1:8" x14ac:dyDescent="0.3">
      <c r="A30">
        <v>29</v>
      </c>
      <c r="B30">
        <v>530616.73107545497</v>
      </c>
      <c r="C30">
        <v>2583.3045310991001</v>
      </c>
      <c r="D30">
        <v>19024.075354722499</v>
      </c>
      <c r="E30">
        <v>881.63476252579301</v>
      </c>
      <c r="F30">
        <v>2205.8826339707298</v>
      </c>
      <c r="G30">
        <v>2440.4454686199301</v>
      </c>
      <c r="H30">
        <v>0</v>
      </c>
    </row>
    <row r="31" spans="1:8" x14ac:dyDescent="0.3">
      <c r="A31">
        <v>30</v>
      </c>
      <c r="B31">
        <v>498983.44577051699</v>
      </c>
      <c r="C31">
        <v>2367.8842068363301</v>
      </c>
      <c r="D31">
        <v>18403.223176326399</v>
      </c>
      <c r="E31">
        <v>827.97600694045104</v>
      </c>
      <c r="F31">
        <v>2312.5648495607502</v>
      </c>
      <c r="G31">
        <v>2364.22924343356</v>
      </c>
      <c r="H31">
        <v>0</v>
      </c>
    </row>
    <row r="32" spans="1:8" x14ac:dyDescent="0.3">
      <c r="A32">
        <v>31</v>
      </c>
      <c r="B32">
        <v>472900.822987122</v>
      </c>
      <c r="C32">
        <v>2092.8890124704999</v>
      </c>
      <c r="D32">
        <v>18086.950908170002</v>
      </c>
      <c r="E32">
        <v>768.99863948778</v>
      </c>
      <c r="F32">
        <v>2301.9717845223699</v>
      </c>
      <c r="G32">
        <v>2230.0445197907202</v>
      </c>
      <c r="H32">
        <v>0</v>
      </c>
    </row>
    <row r="33" spans="1:8" x14ac:dyDescent="0.3">
      <c r="A33">
        <v>32</v>
      </c>
      <c r="B33">
        <v>434004.078796104</v>
      </c>
      <c r="C33">
        <v>2008.0200757858699</v>
      </c>
      <c r="D33">
        <v>16994.5084371386</v>
      </c>
      <c r="E33">
        <v>756.55508904856902</v>
      </c>
      <c r="F33">
        <v>2301.0449600388001</v>
      </c>
      <c r="G33">
        <v>2075.9551967979701</v>
      </c>
      <c r="H33">
        <v>0</v>
      </c>
    </row>
    <row r="34" spans="1:8" x14ac:dyDescent="0.3">
      <c r="A34">
        <v>33</v>
      </c>
      <c r="B34">
        <v>430977.01792051003</v>
      </c>
      <c r="C34">
        <v>1787.50745206174</v>
      </c>
      <c r="D34">
        <v>16730.1324838197</v>
      </c>
      <c r="E34">
        <v>755.04135449759599</v>
      </c>
      <c r="F34">
        <v>1996.8641021462099</v>
      </c>
      <c r="G34">
        <v>2044.67912516761</v>
      </c>
      <c r="H34">
        <v>0</v>
      </c>
    </row>
    <row r="35" spans="1:8" x14ac:dyDescent="0.3">
      <c r="A35">
        <v>34</v>
      </c>
      <c r="B35">
        <v>427846.802390798</v>
      </c>
      <c r="C35">
        <v>1705.40003297468</v>
      </c>
      <c r="D35">
        <v>16672.3116864859</v>
      </c>
      <c r="E35">
        <v>763.16076218635203</v>
      </c>
      <c r="F35">
        <v>1869.4381577010799</v>
      </c>
      <c r="G35">
        <v>1972.82691201794</v>
      </c>
      <c r="H35">
        <v>0</v>
      </c>
    </row>
    <row r="36" spans="1:8" x14ac:dyDescent="0.3">
      <c r="A36">
        <v>35</v>
      </c>
      <c r="B36">
        <v>414859.20920496498</v>
      </c>
      <c r="C36">
        <v>1639.6200883126</v>
      </c>
      <c r="D36">
        <v>16587.163163860299</v>
      </c>
      <c r="E36">
        <v>768.82448099788496</v>
      </c>
      <c r="F36">
        <v>1833.63321548606</v>
      </c>
      <c r="G36">
        <v>1968.4797874814701</v>
      </c>
      <c r="H36">
        <v>0</v>
      </c>
    </row>
    <row r="37" spans="1:8" x14ac:dyDescent="0.3">
      <c r="A37">
        <v>36</v>
      </c>
      <c r="B37">
        <v>424220.78707402898</v>
      </c>
      <c r="C37">
        <v>1657.9633626146201</v>
      </c>
      <c r="D37">
        <v>16964.3831116396</v>
      </c>
      <c r="E37">
        <v>779.66605413435502</v>
      </c>
      <c r="F37">
        <v>1864.7406116652</v>
      </c>
      <c r="G37">
        <v>2012.4200455899099</v>
      </c>
      <c r="H37">
        <v>0</v>
      </c>
    </row>
    <row r="38" spans="1:8" x14ac:dyDescent="0.3">
      <c r="A38">
        <v>37</v>
      </c>
      <c r="B38">
        <v>380117.41236109397</v>
      </c>
      <c r="C38">
        <v>1721.5747140569499</v>
      </c>
      <c r="D38">
        <v>19608.9705876197</v>
      </c>
      <c r="E38">
        <v>810.87065977067505</v>
      </c>
      <c r="F38">
        <v>892.82125558326197</v>
      </c>
      <c r="G38">
        <v>1777.3219181099801</v>
      </c>
      <c r="H38">
        <v>0</v>
      </c>
    </row>
    <row r="39" spans="1:8" x14ac:dyDescent="0.3">
      <c r="A39">
        <v>38</v>
      </c>
      <c r="B39">
        <v>358541.56346933998</v>
      </c>
      <c r="C39">
        <v>2819.2440318730701</v>
      </c>
      <c r="D39">
        <v>19162.432323590801</v>
      </c>
      <c r="E39">
        <v>884.02437077416596</v>
      </c>
      <c r="F39">
        <v>703.43911968646501</v>
      </c>
      <c r="G39">
        <v>1191.7044778045799</v>
      </c>
      <c r="H39">
        <v>0</v>
      </c>
    </row>
    <row r="40" spans="1:8" x14ac:dyDescent="0.3">
      <c r="A40">
        <v>39</v>
      </c>
      <c r="B40">
        <v>372340.02809844201</v>
      </c>
      <c r="C40">
        <v>3231.95776989673</v>
      </c>
      <c r="D40">
        <v>18688.131327857001</v>
      </c>
      <c r="E40">
        <v>960.27269497956604</v>
      </c>
      <c r="F40">
        <v>665.87135205799495</v>
      </c>
      <c r="G40">
        <v>1382.08871934077</v>
      </c>
      <c r="H40">
        <v>0</v>
      </c>
    </row>
    <row r="41" spans="1:8" x14ac:dyDescent="0.3">
      <c r="A41">
        <v>40</v>
      </c>
      <c r="B41">
        <v>394709.73658096598</v>
      </c>
      <c r="C41">
        <v>4167.0773026926199</v>
      </c>
      <c r="D41">
        <v>19669.116143955998</v>
      </c>
      <c r="E41">
        <v>1075.83952016905</v>
      </c>
      <c r="F41">
        <v>570.48699009781296</v>
      </c>
      <c r="G41">
        <v>1168.0166773190099</v>
      </c>
      <c r="H41">
        <v>0</v>
      </c>
    </row>
    <row r="42" spans="1:8" x14ac:dyDescent="0.3">
      <c r="A42">
        <v>41</v>
      </c>
      <c r="B42">
        <v>416952.59697757498</v>
      </c>
      <c r="C42">
        <v>5094.2274460281096</v>
      </c>
      <c r="D42">
        <v>21057.5719443327</v>
      </c>
      <c r="E42">
        <v>1109.48288978767</v>
      </c>
      <c r="F42">
        <v>607.59291402444103</v>
      </c>
      <c r="G42">
        <v>1258.1372618462401</v>
      </c>
      <c r="H42">
        <v>0</v>
      </c>
    </row>
    <row r="43" spans="1:8" x14ac:dyDescent="0.3">
      <c r="A43">
        <v>42</v>
      </c>
      <c r="B43">
        <v>418692.26529813302</v>
      </c>
      <c r="C43">
        <v>6233.7571648624198</v>
      </c>
      <c r="D43">
        <v>23675.7682597038</v>
      </c>
      <c r="E43">
        <v>1424.5228589102501</v>
      </c>
      <c r="F43">
        <v>670.73444668407001</v>
      </c>
      <c r="G43">
        <v>1080.49314686309</v>
      </c>
      <c r="H43">
        <v>0</v>
      </c>
    </row>
    <row r="44" spans="1:8" x14ac:dyDescent="0.3">
      <c r="A44">
        <v>43</v>
      </c>
      <c r="B44">
        <v>430428.75109794701</v>
      </c>
      <c r="C44">
        <v>6409.9942920798703</v>
      </c>
      <c r="D44">
        <v>24481.507831537099</v>
      </c>
      <c r="E44">
        <v>1866.0893543069101</v>
      </c>
      <c r="F44">
        <v>738.91153487926795</v>
      </c>
      <c r="G44">
        <v>772.10882971383501</v>
      </c>
      <c r="H44">
        <v>0</v>
      </c>
    </row>
    <row r="45" spans="1:8" x14ac:dyDescent="0.3">
      <c r="A45">
        <v>44</v>
      </c>
      <c r="B45">
        <v>440666.59746723901</v>
      </c>
      <c r="C45">
        <v>6287.9005082488202</v>
      </c>
      <c r="D45">
        <v>22946.767309081799</v>
      </c>
      <c r="E45">
        <v>1781.09135961066</v>
      </c>
      <c r="F45">
        <v>632.69959211338096</v>
      </c>
      <c r="G45">
        <v>699.96019955950703</v>
      </c>
      <c r="H45">
        <v>0</v>
      </c>
    </row>
    <row r="46" spans="1:8" x14ac:dyDescent="0.3">
      <c r="A46">
        <v>45</v>
      </c>
      <c r="B46">
        <v>409907.62968478102</v>
      </c>
      <c r="C46">
        <v>6410.4104089274397</v>
      </c>
      <c r="D46">
        <v>21783.129387610701</v>
      </c>
      <c r="E46">
        <v>1838.33468157074</v>
      </c>
      <c r="F46">
        <v>509.37206062228501</v>
      </c>
      <c r="G46">
        <v>615.77401666816104</v>
      </c>
      <c r="H46">
        <v>0</v>
      </c>
    </row>
    <row r="47" spans="1:8" x14ac:dyDescent="0.3">
      <c r="A47">
        <v>46</v>
      </c>
      <c r="B47">
        <v>355207.20858905901</v>
      </c>
      <c r="C47">
        <v>6332.09022914045</v>
      </c>
      <c r="D47">
        <v>21367.1725042406</v>
      </c>
      <c r="E47">
        <v>2383.9953441694502</v>
      </c>
      <c r="F47">
        <v>401.52034309649503</v>
      </c>
      <c r="G47">
        <v>592.12058662879599</v>
      </c>
      <c r="H47">
        <v>0</v>
      </c>
    </row>
    <row r="48" spans="1:8" x14ac:dyDescent="0.3">
      <c r="A48">
        <v>47</v>
      </c>
      <c r="B48">
        <v>331484.83623251802</v>
      </c>
      <c r="C48">
        <v>6226.1480219402902</v>
      </c>
      <c r="D48">
        <v>23731.347377239501</v>
      </c>
      <c r="E48">
        <v>2360.57264833817</v>
      </c>
      <c r="F48">
        <v>370.26366227872001</v>
      </c>
      <c r="G48">
        <v>579.18360235452997</v>
      </c>
      <c r="H48">
        <v>0</v>
      </c>
    </row>
    <row r="49" spans="1:8" x14ac:dyDescent="0.3">
      <c r="A49">
        <v>48</v>
      </c>
      <c r="B49">
        <v>312840.460912693</v>
      </c>
      <c r="C49">
        <v>5648.2258639721404</v>
      </c>
      <c r="D49">
        <v>23717.389019937898</v>
      </c>
      <c r="E49">
        <v>2375.4030960376999</v>
      </c>
      <c r="F49">
        <v>335.95583085171802</v>
      </c>
      <c r="G49">
        <v>590.42121531354303</v>
      </c>
      <c r="H49">
        <v>0</v>
      </c>
    </row>
    <row r="50" spans="1:8" x14ac:dyDescent="0.3">
      <c r="A50">
        <v>49</v>
      </c>
      <c r="B50">
        <v>298300.41401144001</v>
      </c>
      <c r="C50">
        <v>6512.0888333844696</v>
      </c>
      <c r="D50">
        <v>27105.481780371701</v>
      </c>
      <c r="E50">
        <v>2772.6622806015998</v>
      </c>
      <c r="F50">
        <v>259.67858091856198</v>
      </c>
      <c r="G50">
        <v>662.46328263388796</v>
      </c>
      <c r="H50">
        <v>0</v>
      </c>
    </row>
    <row r="51" spans="1:8" x14ac:dyDescent="0.3">
      <c r="A51">
        <v>50</v>
      </c>
      <c r="B51">
        <v>283928.54840977199</v>
      </c>
      <c r="C51">
        <v>7092.6876587677198</v>
      </c>
      <c r="D51">
        <v>30801.844174748501</v>
      </c>
      <c r="E51">
        <v>2839.8612311971701</v>
      </c>
      <c r="F51">
        <v>282.25149399300301</v>
      </c>
      <c r="G51">
        <v>835.57215127235804</v>
      </c>
      <c r="H51">
        <v>0</v>
      </c>
    </row>
    <row r="52" spans="1:8" x14ac:dyDescent="0.3">
      <c r="A52">
        <v>51</v>
      </c>
      <c r="B52">
        <v>268716.035264167</v>
      </c>
      <c r="C52">
        <v>7990.9433659322603</v>
      </c>
      <c r="D52">
        <v>31777.457732592899</v>
      </c>
      <c r="E52">
        <v>2590.8623324723098</v>
      </c>
      <c r="F52">
        <v>269.135201977615</v>
      </c>
      <c r="G52">
        <v>973.83536683450302</v>
      </c>
      <c r="H52">
        <v>0</v>
      </c>
    </row>
    <row r="53" spans="1:8" x14ac:dyDescent="0.3">
      <c r="A53">
        <v>52</v>
      </c>
      <c r="B53">
        <v>253431.272656655</v>
      </c>
      <c r="C53">
        <v>7292.9748030645796</v>
      </c>
      <c r="D53">
        <v>34180.992538198101</v>
      </c>
      <c r="E53">
        <v>3319.91052768502</v>
      </c>
      <c r="F53">
        <v>273.49487272983299</v>
      </c>
      <c r="G53">
        <v>1294.38183013107</v>
      </c>
      <c r="H53">
        <v>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K28"/>
  <sheetViews>
    <sheetView tabSelected="1" topLeftCell="B1" zoomScaleNormal="100" workbookViewId="0">
      <selection activeCell="J18" sqref="J18"/>
    </sheetView>
  </sheetViews>
  <sheetFormatPr defaultColWidth="8.5546875" defaultRowHeight="14.4" x14ac:dyDescent="0.3"/>
  <cols>
    <col min="1" max="1" width="49.88671875" bestFit="1" customWidth="1"/>
  </cols>
  <sheetData>
    <row r="2" spans="1:8" x14ac:dyDescent="0.3">
      <c r="A2" t="s">
        <v>22</v>
      </c>
    </row>
    <row r="4" spans="1:8" x14ac:dyDescent="0.3"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</row>
    <row r="5" spans="1:8" x14ac:dyDescent="0.3">
      <c r="A5" s="1" t="s">
        <v>7</v>
      </c>
      <c r="B5" s="2">
        <v>5710.5631000000012</v>
      </c>
      <c r="C5" s="2">
        <v>293.62</v>
      </c>
      <c r="D5" s="2">
        <v>675.17254000000003</v>
      </c>
      <c r="E5" s="2">
        <v>125.38500000000001</v>
      </c>
      <c r="F5" s="2">
        <v>81.905000000000001</v>
      </c>
      <c r="G5" s="2">
        <v>91.925000000000011</v>
      </c>
      <c r="H5" s="2">
        <v>50.03</v>
      </c>
    </row>
    <row r="6" spans="1:8" x14ac:dyDescent="0.3">
      <c r="A6" s="3" t="s">
        <v>8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</row>
    <row r="7" spans="1:8" x14ac:dyDescent="0.3">
      <c r="A7" s="3" t="s">
        <v>9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</row>
    <row r="8" spans="1:8" x14ac:dyDescent="0.3">
      <c r="A8" s="1" t="s">
        <v>10</v>
      </c>
      <c r="B8" s="2">
        <v>6344.9739999999993</v>
      </c>
      <c r="C8" s="2">
        <v>389.27</v>
      </c>
      <c r="D8" s="2">
        <v>1005.116</v>
      </c>
      <c r="E8" s="2">
        <v>701.28400000000011</v>
      </c>
      <c r="F8" s="2">
        <v>153.39750000000001</v>
      </c>
      <c r="G8" s="2">
        <v>42.34</v>
      </c>
      <c r="H8" s="2">
        <v>178.27</v>
      </c>
    </row>
    <row r="9" spans="1:8" x14ac:dyDescent="0.3">
      <c r="A9" s="1" t="s">
        <v>11</v>
      </c>
      <c r="B9" s="2">
        <v>3707</v>
      </c>
      <c r="C9" s="2">
        <v>187</v>
      </c>
      <c r="D9" s="2">
        <v>803.3599999999999</v>
      </c>
      <c r="E9" s="2">
        <v>572.4</v>
      </c>
      <c r="F9" s="2">
        <v>144.4</v>
      </c>
      <c r="G9" s="2">
        <v>0</v>
      </c>
      <c r="H9" s="2">
        <v>153.80000000000001</v>
      </c>
    </row>
    <row r="10" spans="1:8" x14ac:dyDescent="0.3">
      <c r="A10" s="3" t="s">
        <v>12</v>
      </c>
      <c r="B10" s="4">
        <v>2774.8580000000002</v>
      </c>
      <c r="C10" s="4">
        <v>0</v>
      </c>
      <c r="D10" s="4">
        <v>763</v>
      </c>
      <c r="E10" s="4">
        <v>0</v>
      </c>
      <c r="F10" s="4">
        <v>0</v>
      </c>
      <c r="G10" s="4">
        <v>80</v>
      </c>
      <c r="H10" s="4">
        <v>0</v>
      </c>
    </row>
    <row r="11" spans="1:8" x14ac:dyDescent="0.3">
      <c r="A11" s="3" t="s">
        <v>13</v>
      </c>
      <c r="B11" s="4">
        <v>-1751</v>
      </c>
      <c r="C11" s="4">
        <v>0</v>
      </c>
      <c r="D11" s="4">
        <v>-333</v>
      </c>
      <c r="E11" s="4">
        <v>0</v>
      </c>
      <c r="F11" s="4">
        <v>0</v>
      </c>
      <c r="G11" s="4">
        <v>-58</v>
      </c>
      <c r="H11" s="4">
        <v>0</v>
      </c>
    </row>
    <row r="12" spans="1:8" x14ac:dyDescent="0.3">
      <c r="A12" s="3" t="s">
        <v>14</v>
      </c>
      <c r="B12" s="4">
        <v>194</v>
      </c>
      <c r="C12" s="4">
        <v>0</v>
      </c>
      <c r="D12" s="4">
        <v>94.99</v>
      </c>
      <c r="E12" s="4">
        <v>0</v>
      </c>
      <c r="F12" s="4">
        <v>0</v>
      </c>
      <c r="G12" s="4">
        <v>0</v>
      </c>
      <c r="H12" s="4">
        <v>0</v>
      </c>
    </row>
    <row r="13" spans="1:8" x14ac:dyDescent="0.3">
      <c r="A13" s="1" t="s">
        <v>15</v>
      </c>
      <c r="B13" s="2">
        <v>2430.1999999999998</v>
      </c>
      <c r="C13" s="2">
        <v>0</v>
      </c>
      <c r="D13" s="2">
        <v>1000</v>
      </c>
      <c r="E13" s="2">
        <v>0</v>
      </c>
      <c r="F13" s="2">
        <v>240</v>
      </c>
      <c r="G13" s="2">
        <v>500</v>
      </c>
      <c r="H13" s="2">
        <v>0</v>
      </c>
    </row>
    <row r="14" spans="1:8" x14ac:dyDescent="0.3">
      <c r="A14" s="1" t="s">
        <v>16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 x14ac:dyDescent="0.3">
      <c r="A15" s="1" t="s">
        <v>17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 x14ac:dyDescent="0.3">
      <c r="A16" s="6" t="s">
        <v>23</v>
      </c>
      <c r="B16">
        <f>(B9)*1000</f>
        <v>3707000</v>
      </c>
      <c r="C16">
        <f t="shared" ref="C16:H16" si="0">(C9)*1000</f>
        <v>187000</v>
      </c>
      <c r="D16">
        <f t="shared" si="0"/>
        <v>803359.99999999988</v>
      </c>
      <c r="E16">
        <f t="shared" si="0"/>
        <v>572400</v>
      </c>
      <c r="F16">
        <f t="shared" si="0"/>
        <v>144400</v>
      </c>
      <c r="G16">
        <f t="shared" si="0"/>
        <v>0</v>
      </c>
      <c r="H16">
        <f t="shared" si="0"/>
        <v>153800</v>
      </c>
    </row>
    <row r="17" spans="1:11" x14ac:dyDescent="0.3">
      <c r="A17" s="6" t="s">
        <v>24</v>
      </c>
      <c r="B17" s="5">
        <f>B8</f>
        <v>6344.9739999999993</v>
      </c>
      <c r="C17" s="5">
        <f t="shared" ref="C17:H17" si="1">C8</f>
        <v>389.27</v>
      </c>
      <c r="D17" s="5">
        <f t="shared" si="1"/>
        <v>1005.116</v>
      </c>
      <c r="E17" s="5">
        <f t="shared" si="1"/>
        <v>701.28400000000011</v>
      </c>
      <c r="F17" s="5">
        <f t="shared" si="1"/>
        <v>153.39750000000001</v>
      </c>
      <c r="G17" s="5">
        <f t="shared" si="1"/>
        <v>42.34</v>
      </c>
      <c r="H17" s="5">
        <f t="shared" si="1"/>
        <v>178.27</v>
      </c>
      <c r="I17" t="s">
        <v>29</v>
      </c>
      <c r="J17" s="8" t="s">
        <v>35</v>
      </c>
    </row>
    <row r="18" spans="1:11" x14ac:dyDescent="0.3">
      <c r="A18" s="6" t="s">
        <v>25</v>
      </c>
      <c r="B18">
        <f>B16/B17</f>
        <v>584.24195276450314</v>
      </c>
      <c r="C18">
        <f t="shared" ref="C18:H18" si="2">C16/C17</f>
        <v>480.3863642202071</v>
      </c>
      <c r="D18">
        <f t="shared" si="2"/>
        <v>799.2709299225163</v>
      </c>
      <c r="E18">
        <f t="shared" si="2"/>
        <v>816.21711032905341</v>
      </c>
      <c r="F18">
        <f t="shared" si="2"/>
        <v>941.3451979334734</v>
      </c>
      <c r="G18">
        <f t="shared" si="2"/>
        <v>0</v>
      </c>
      <c r="H18">
        <f t="shared" si="2"/>
        <v>862.73629887249672</v>
      </c>
      <c r="I18">
        <f>SUM(B16:H16)/SUM(B17:H17)</f>
        <v>631.67103089668387</v>
      </c>
      <c r="J18" s="9">
        <f>1/I18</f>
        <v>1.5831025186962549E-3</v>
      </c>
      <c r="K18" t="s">
        <v>32</v>
      </c>
    </row>
    <row r="19" spans="1:11" x14ac:dyDescent="0.3">
      <c r="A19" s="7" t="s">
        <v>26</v>
      </c>
      <c r="B19" s="5">
        <f>(B12+B15)*1000</f>
        <v>194000</v>
      </c>
      <c r="C19" s="5">
        <f t="shared" ref="C19:H19" si="3">(C12+C15)*1000</f>
        <v>0</v>
      </c>
      <c r="D19" s="5">
        <f t="shared" si="3"/>
        <v>94990</v>
      </c>
      <c r="E19" s="5">
        <f t="shared" si="3"/>
        <v>0</v>
      </c>
      <c r="F19" s="5">
        <f t="shared" si="3"/>
        <v>0</v>
      </c>
      <c r="G19" s="5">
        <f t="shared" si="3"/>
        <v>0</v>
      </c>
      <c r="H19" s="5">
        <f t="shared" si="3"/>
        <v>0</v>
      </c>
      <c r="J19" s="9"/>
    </row>
    <row r="20" spans="1:11" x14ac:dyDescent="0.3">
      <c r="A20" s="7" t="s">
        <v>28</v>
      </c>
      <c r="B20" s="5">
        <f>B10+B13</f>
        <v>5205.058</v>
      </c>
      <c r="C20" s="5">
        <f>C10+C13</f>
        <v>0</v>
      </c>
      <c r="D20" s="5">
        <f>D10+D13</f>
        <v>1763</v>
      </c>
      <c r="E20" s="5">
        <f>E10+E13</f>
        <v>0</v>
      </c>
      <c r="F20" s="5">
        <f>F10+F13</f>
        <v>240</v>
      </c>
      <c r="G20" s="5">
        <f>G10+G13</f>
        <v>580</v>
      </c>
      <c r="H20" s="5">
        <f>H10+H13</f>
        <v>0</v>
      </c>
      <c r="J20" s="9"/>
    </row>
    <row r="21" spans="1:11" x14ac:dyDescent="0.3">
      <c r="A21" s="7" t="s">
        <v>30</v>
      </c>
      <c r="B21" s="5">
        <f>B19/B20</f>
        <v>37.27143866600526</v>
      </c>
      <c r="C21" s="5">
        <v>0</v>
      </c>
      <c r="D21" s="5">
        <f t="shared" ref="C21:H21" si="4">D19/D20</f>
        <v>53.879750425411231</v>
      </c>
      <c r="E21" s="5">
        <v>0</v>
      </c>
      <c r="F21" s="5">
        <f t="shared" si="4"/>
        <v>0</v>
      </c>
      <c r="G21" s="5">
        <f t="shared" si="4"/>
        <v>0</v>
      </c>
      <c r="H21" s="5">
        <v>0</v>
      </c>
      <c r="I21">
        <f>SUM(B19:H19)/SUM(B20:H20)</f>
        <v>37.106811479832331</v>
      </c>
      <c r="J21" s="9">
        <f t="shared" ref="J19:J23" si="5">1/I21</f>
        <v>2.6949230077165296E-2</v>
      </c>
      <c r="K21" t="s">
        <v>33</v>
      </c>
    </row>
    <row r="22" spans="1:11" x14ac:dyDescent="0.3">
      <c r="A22" s="7" t="s">
        <v>27</v>
      </c>
      <c r="B22" s="5">
        <f>-B11</f>
        <v>1751</v>
      </c>
      <c r="C22" s="5">
        <f>-C11</f>
        <v>0</v>
      </c>
      <c r="D22" s="5">
        <f>-D11</f>
        <v>333</v>
      </c>
      <c r="E22" s="5">
        <f>-E11</f>
        <v>0</v>
      </c>
      <c r="F22" s="5">
        <f>-F11</f>
        <v>0</v>
      </c>
      <c r="G22" s="5">
        <f>-G11</f>
        <v>58</v>
      </c>
      <c r="H22" s="5">
        <f>-H11</f>
        <v>0</v>
      </c>
      <c r="J22" s="9"/>
    </row>
    <row r="23" spans="1:11" x14ac:dyDescent="0.3">
      <c r="A23" s="7" t="s">
        <v>31</v>
      </c>
      <c r="B23">
        <f>B19/B22</f>
        <v>110.79383209594518</v>
      </c>
      <c r="D23">
        <f t="shared" ref="C23:H23" si="6">D19/D22</f>
        <v>285.25525525525524</v>
      </c>
      <c r="I23">
        <f>SUM(B19:H19)/SUM(B22:H22)</f>
        <v>134.91596638655463</v>
      </c>
      <c r="J23" s="9">
        <f t="shared" si="5"/>
        <v>7.4120211772033626E-3</v>
      </c>
      <c r="K23" t="s">
        <v>34</v>
      </c>
    </row>
    <row r="25" spans="1:11" x14ac:dyDescent="0.3">
      <c r="A25" t="s">
        <v>18</v>
      </c>
      <c r="B25" s="5">
        <f>B12*1000</f>
        <v>194000</v>
      </c>
      <c r="C25" s="5">
        <f t="shared" ref="C25:H25" si="7">C12*1000</f>
        <v>0</v>
      </c>
      <c r="D25" s="5">
        <f t="shared" si="7"/>
        <v>94990</v>
      </c>
      <c r="E25" s="5">
        <f t="shared" si="7"/>
        <v>0</v>
      </c>
      <c r="F25" s="5">
        <f t="shared" si="7"/>
        <v>0</v>
      </c>
      <c r="G25" s="5">
        <f t="shared" si="7"/>
        <v>0</v>
      </c>
      <c r="H25" s="5">
        <f t="shared" si="7"/>
        <v>0</v>
      </c>
    </row>
    <row r="26" spans="1:11" x14ac:dyDescent="0.3">
      <c r="A26" t="s">
        <v>19</v>
      </c>
      <c r="B26" s="5">
        <f>B10+B13</f>
        <v>5205.058</v>
      </c>
      <c r="C26" s="5">
        <f t="shared" ref="C26:H26" si="8">C10+C13</f>
        <v>0</v>
      </c>
      <c r="D26" s="5">
        <f t="shared" si="8"/>
        <v>1763</v>
      </c>
      <c r="E26" s="5">
        <f t="shared" si="8"/>
        <v>0</v>
      </c>
      <c r="F26" s="5">
        <f t="shared" si="8"/>
        <v>240</v>
      </c>
      <c r="G26" s="5">
        <f t="shared" si="8"/>
        <v>580</v>
      </c>
      <c r="H26" s="5">
        <f t="shared" si="8"/>
        <v>0</v>
      </c>
    </row>
    <row r="27" spans="1:11" x14ac:dyDescent="0.3">
      <c r="A27" t="s">
        <v>20</v>
      </c>
      <c r="B27">
        <f>B26/B25</f>
        <v>2.6830195876288661E-2</v>
      </c>
      <c r="D27">
        <f t="shared" ref="D27" si="9">D26/D25</f>
        <v>1.8559848405095274E-2</v>
      </c>
    </row>
    <row r="28" spans="1:11" x14ac:dyDescent="0.3">
      <c r="A28" t="s">
        <v>21</v>
      </c>
      <c r="B28" s="5">
        <f>-B11</f>
        <v>1751</v>
      </c>
      <c r="C28" s="5">
        <f t="shared" ref="C28:H28" si="10">-C11</f>
        <v>0</v>
      </c>
      <c r="D28" s="5">
        <f t="shared" si="10"/>
        <v>333</v>
      </c>
      <c r="E28" s="5">
        <f t="shared" si="10"/>
        <v>0</v>
      </c>
      <c r="F28" s="5">
        <f t="shared" si="10"/>
        <v>0</v>
      </c>
      <c r="G28" s="5">
        <f t="shared" si="10"/>
        <v>58</v>
      </c>
      <c r="H28" s="5">
        <f t="shared" si="10"/>
        <v>0</v>
      </c>
    </row>
  </sheetData>
  <dataValidations count="1">
    <dataValidation type="decimal" operator="lessThanOrEqual" showInputMessage="1" showErrorMessage="1" errorTitle="Value Error" error="Value for pumping rated power must be negative!" sqref="B14:H14 B11:H11" xr:uid="{5E0F8112-DA3E-4EF6-8C7E-4B93640F2996}">
      <formula1>0</formula1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pumped_storage_open_inflows</vt:lpstr>
      <vt:lpstr>Hydro_inflows</vt:lpstr>
      <vt:lpstr>run_of_river</vt:lpstr>
      <vt:lpstr>Info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Bertoni, L. (Luca)</dc:creator>
  <dc:description/>
  <cp:lastModifiedBy>Bertoni, L. (Luca)</cp:lastModifiedBy>
  <cp:revision>1</cp:revision>
  <dcterms:created xsi:type="dcterms:W3CDTF">2025-04-16T19:49:51Z</dcterms:created>
  <dcterms:modified xsi:type="dcterms:W3CDTF">2026-01-30T17:15:47Z</dcterms:modified>
  <dc:language>en-US</dc:language>
</cp:coreProperties>
</file>