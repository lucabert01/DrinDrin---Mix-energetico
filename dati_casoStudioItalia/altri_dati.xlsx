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0954659\PycharmProjects\DrinDrin---Mix-energetico\dati_casoStudioItalia\"/>
    </mc:Choice>
  </mc:AlternateContent>
  <xr:revisionPtr revIDLastSave="0" documentId="13_ncr:1_{A494A9B9-15E1-4563-8B78-84DC7EB0D91B}" xr6:coauthVersionLast="47" xr6:coauthVersionMax="47" xr10:uidLastSave="{00000000-0000-0000-0000-000000000000}"/>
  <bookViews>
    <workbookView xWindow="-108" yWindow="-108" windowWidth="23256" windowHeight="12456" tabRatio="699" activeTab="2" xr2:uid="{00000000-000D-0000-FFFF-FFFF00000000}"/>
  </bookViews>
  <sheets>
    <sheet name="discount_rate" sheetId="1" r:id="rId1"/>
    <sheet name="OPEX" sheetId="2" r:id="rId2"/>
    <sheet name="CAPEX" sheetId="3" r:id="rId3"/>
    <sheet name="Fuel_cost" sheetId="4" r:id="rId4"/>
    <sheet name="Transmission_abroad" sheetId="5" r:id="rId5"/>
    <sheet name="raw_data_commodity" sheetId="6" r:id="rId6"/>
    <sheet name="raw_data_techs" sheetId="7" r:id="rId7"/>
    <sheet name="resulting_lcoe_inpu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3" l="1"/>
  <c r="D41" i="7"/>
  <c r="D40" i="7"/>
  <c r="I40" i="7" s="1"/>
  <c r="I41" i="7"/>
  <c r="I39" i="7"/>
  <c r="I38" i="7"/>
  <c r="B2" i="3"/>
  <c r="C2" i="8" s="1"/>
  <c r="B6" i="3"/>
  <c r="B3" i="3"/>
  <c r="B4" i="3"/>
  <c r="B5" i="3"/>
  <c r="B7" i="3"/>
  <c r="B8" i="3"/>
  <c r="B9" i="3"/>
  <c r="F5" i="3"/>
  <c r="F3" i="3"/>
  <c r="D4" i="8"/>
  <c r="C4" i="8"/>
  <c r="B4" i="8"/>
  <c r="G4" i="8" s="1"/>
  <c r="B3" i="8"/>
  <c r="G3" i="8" s="1"/>
  <c r="G2" i="8"/>
  <c r="D2" i="8"/>
  <c r="B2" i="8"/>
  <c r="I36" i="7"/>
  <c r="D34" i="7"/>
  <c r="I34" i="7" s="1"/>
  <c r="D33" i="7"/>
  <c r="I33" i="7" s="1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Q9" i="7"/>
  <c r="I37" i="7" s="1"/>
  <c r="I9" i="7"/>
  <c r="Q8" i="7"/>
  <c r="I35" i="7" s="1"/>
  <c r="I8" i="7"/>
  <c r="I7" i="7"/>
  <c r="I6" i="7"/>
  <c r="I5" i="7"/>
  <c r="I4" i="7"/>
  <c r="I3" i="7"/>
  <c r="I2" i="7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M5" i="6"/>
  <c r="G5" i="6"/>
  <c r="G4" i="6"/>
  <c r="G3" i="6"/>
  <c r="G2" i="6"/>
  <c r="C3" i="8"/>
  <c r="B9" i="2"/>
  <c r="B8" i="2"/>
  <c r="B7" i="2"/>
  <c r="B6" i="2"/>
  <c r="B3" i="2"/>
  <c r="D3" i="8" s="1"/>
  <c r="B2" i="2"/>
  <c r="D17" i="1"/>
  <c r="H2" i="8" l="1"/>
  <c r="H3" i="8"/>
  <c r="H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7" authorId="0" shapeId="0" xr:uid="{00000000-0006-0000-0200-000001000000}">
      <text>
        <r>
          <rPr>
            <sz val="10"/>
            <rFont val="Arial"/>
            <family val="2"/>
          </rPr>
          <t xml:space="preserve">Bertoni, L. (Luca):
</t>
        </r>
        <r>
          <rPr>
            <sz val="9"/>
            <color rgb="FF000000"/>
            <rFont val="Tahoma"/>
            <family val="2"/>
            <charset val="1"/>
          </rPr>
          <t>Tutti I tipi</t>
        </r>
      </text>
    </comment>
    <comment ref="A9" authorId="0" shapeId="0" xr:uid="{00000000-0006-0000-0200-000002000000}">
      <text>
        <r>
          <rPr>
            <sz val="10"/>
            <rFont val="Arial"/>
            <family val="2"/>
          </rPr>
          <t xml:space="preserve">Bertoni, L. (Luca):
</t>
        </r>
        <r>
          <rPr>
            <sz val="9"/>
            <color rgb="FF000000"/>
            <rFont val="Tahoma"/>
            <family val="2"/>
            <charset val="1"/>
          </rPr>
          <t xml:space="preserve">in MWh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" authorId="0" shapeId="0" xr:uid="{00000000-0006-0000-0500-000001000000}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>i.e., TTF</t>
        </r>
      </text>
    </comment>
    <comment ref="F3" authorId="0" shapeId="0" xr:uid="{00000000-0006-0000-0500-000002000000}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>i.e., TTF</t>
        </r>
      </text>
    </comment>
    <comment ref="F4" authorId="0" shapeId="0" xr:uid="{00000000-0006-0000-0500-000003000000}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>i.e., TTF</t>
        </r>
      </text>
    </comment>
    <comment ref="F5" authorId="0" shapeId="0" xr:uid="{00000000-0006-0000-0500-000004000000}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>i.e., TTF</t>
        </r>
      </text>
    </comment>
    <comment ref="F6" authorId="0" shapeId="0" xr:uid="{00000000-0006-0000-0500-000005000000}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>i.e., TTF</t>
        </r>
      </text>
    </comment>
    <comment ref="F7" authorId="0" shapeId="0" xr:uid="{00000000-0006-0000-0500-000006000000}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>i.e., TTF</t>
        </r>
      </text>
    </comment>
    <comment ref="F8" authorId="0" shapeId="0" xr:uid="{00000000-0006-0000-0500-000007000000}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>i.e., TTF</t>
        </r>
      </text>
    </comment>
  </commentList>
</comments>
</file>

<file path=xl/sharedStrings.xml><?xml version="1.0" encoding="utf-8"?>
<sst xmlns="http://schemas.openxmlformats.org/spreadsheetml/2006/main" count="533" uniqueCount="168">
  <si>
    <t>discount_rate</t>
  </si>
  <si>
    <t>unit</t>
  </si>
  <si>
    <t>reference</t>
  </si>
  <si>
    <t>comment</t>
  </si>
  <si>
    <t>Photovoltaic</t>
  </si>
  <si>
    <t>fraction of capex</t>
  </si>
  <si>
    <t>TEMOA-Italy</t>
  </si>
  <si>
    <t>Paper di supporto</t>
  </si>
  <si>
    <t>WindTurbine_Onshore_1500</t>
  </si>
  <si>
    <t>NuclearPlant</t>
  </si>
  <si>
    <t>Storage_Battery</t>
  </si>
  <si>
    <t>Hydro_Reservoir</t>
  </si>
  <si>
    <t>GasTurbine_simple</t>
  </si>
  <si>
    <t>CoalPlant</t>
  </si>
  <si>
    <t>OPEX</t>
  </si>
  <si>
    <t>PyPSA/technology-data</t>
  </si>
  <si>
    <t>2025-Mixed investment costs based on average of 50% 'solar-rooftop' and 50% 'solar-utility'</t>
  </si>
  <si>
    <t>assumed same as coal</t>
  </si>
  <si>
    <t>assumed same as PV</t>
  </si>
  <si>
    <t>2025, Gas turbine, simple cycle</t>
  </si>
  <si>
    <t>CAPEX</t>
  </si>
  <si>
    <t>EUR/MW</t>
  </si>
  <si>
    <t>EUR/(1.5MW_turbine)</t>
  </si>
  <si>
    <t>Princeton</t>
  </si>
  <si>
    <t>Fonte considerata la più realistica da Lorenzo</t>
  </si>
  <si>
    <t>EUR/MWh</t>
  </si>
  <si>
    <t>2025, 2 h, Average utility-home</t>
  </si>
  <si>
    <t>fuel_cost</t>
  </si>
  <si>
    <t>costo_combustibile_gas</t>
  </si>
  <si>
    <t xml:space="preserve"> EUR/MWh</t>
  </si>
  <si>
    <t>World Bank</t>
  </si>
  <si>
    <t>Average annual value, 2024</t>
  </si>
  <si>
    <t>costo_combustibile_carbone</t>
  </si>
  <si>
    <t xml:space="preserve">costo_combustibile_nucleare </t>
  </si>
  <si>
    <t>World Nuclear Association, EIA, NREL</t>
  </si>
  <si>
    <t>Average between values found (2020-2021)</t>
  </si>
  <si>
    <t>capacity</t>
  </si>
  <si>
    <t>price</t>
  </si>
  <si>
    <t>emission_factor_t/MWh</t>
  </si>
  <si>
    <t>NORD</t>
  </si>
  <si>
    <t>electricity map</t>
  </si>
  <si>
    <t>Include francia, svizzera, slovenia, austria</t>
  </si>
  <si>
    <t>CALA</t>
  </si>
  <si>
    <t>CNOR</t>
  </si>
  <si>
    <t>CSUD</t>
  </si>
  <si>
    <t>SUD</t>
  </si>
  <si>
    <t>grecia</t>
  </si>
  <si>
    <t>SARD</t>
  </si>
  <si>
    <t>SICI</t>
  </si>
  <si>
    <t>Entry voice</t>
  </si>
  <si>
    <t>Year</t>
  </si>
  <si>
    <t>Value</t>
  </si>
  <si>
    <t>Unit</t>
  </si>
  <si>
    <t>Reference</t>
  </si>
  <si>
    <t>Comment</t>
  </si>
  <si>
    <t>Model input value</t>
  </si>
  <si>
    <t>Model unit</t>
  </si>
  <si>
    <t>costo combustibile gas</t>
  </si>
  <si>
    <t>($2010/mmbtu)</t>
  </si>
  <si>
    <t>Natural gas, Europe</t>
  </si>
  <si>
    <t>(€2020/MWh)</t>
  </si>
  <si>
    <t>Conversion</t>
  </si>
  <si>
    <t>Multiplier</t>
  </si>
  <si>
    <t>€2020/$2010</t>
  </si>
  <si>
    <t>Harmonised Index of Consumer Prices (HICP)</t>
  </si>
  <si>
    <t>MWh/mmbtu</t>
  </si>
  <si>
    <t>MWh/kcal</t>
  </si>
  <si>
    <t>Standard heating value of thermal coal (kcal/kg)</t>
  </si>
  <si>
    <t>€2020/$2021</t>
  </si>
  <si>
    <t>€2020/$2020</t>
  </si>
  <si>
    <t>costo combustibile carbone</t>
  </si>
  <si>
    <t>($2010/mt)</t>
  </si>
  <si>
    <t>Coal, Australian</t>
  </si>
  <si>
    <t xml:space="preserve">costo combustibile nucleare </t>
  </si>
  <si>
    <t>(c$2021/kWh)</t>
  </si>
  <si>
    <t>World Nuclear Association</t>
  </si>
  <si>
    <t>2020-2040</t>
  </si>
  <si>
    <t>($2020/MWh)</t>
  </si>
  <si>
    <t>NREL</t>
  </si>
  <si>
    <t>EIA</t>
  </si>
  <si>
    <t>Tech type</t>
  </si>
  <si>
    <t>Comment 1</t>
  </si>
  <si>
    <t>Comment 2</t>
  </si>
  <si>
    <t>CAPEX solare</t>
  </si>
  <si>
    <t>Utility scale</t>
  </si>
  <si>
    <t>(M$2020/GW)</t>
  </si>
  <si>
    <t>Dati elaborati da NREL</t>
  </si>
  <si>
    <t>(€2020/MW)</t>
  </si>
  <si>
    <t>General</t>
  </si>
  <si>
    <t>Dati elaborati da Danish Energy Agency</t>
  </si>
  <si>
    <t>Mixed investment costs based on average of 50% 'solar-rooftop' and 50% 'solar-utility'</t>
  </si>
  <si>
    <t>€2020/€2015</t>
  </si>
  <si>
    <t>Utility</t>
  </si>
  <si>
    <t>€2020/€2010</t>
  </si>
  <si>
    <t>CAPEX eolico</t>
  </si>
  <si>
    <t>Onshore</t>
  </si>
  <si>
    <t>€2020/€2024</t>
  </si>
  <si>
    <t>€2020/€2018</t>
  </si>
  <si>
    <t>(M$2015/GW)</t>
  </si>
  <si>
    <t>€2018/$2018</t>
  </si>
  <si>
    <t>Banca d’Italia</t>
  </si>
  <si>
    <t>Offshore</t>
  </si>
  <si>
    <t>€2016/$2016</t>
  </si>
  <si>
    <t>€2020/€2016</t>
  </si>
  <si>
    <t>Offshore acque profonde</t>
  </si>
  <si>
    <t>CAPEX nucleare</t>
  </si>
  <si>
    <t>AP1000</t>
  </si>
  <si>
    <t>Include il decommissioning</t>
  </si>
  <si>
    <t>SMR</t>
  </si>
  <si>
    <t>CAPEX idroelettrico</t>
  </si>
  <si>
    <t>(M€2010/GW)</t>
  </si>
  <si>
    <t>CAPEX PHS</t>
  </si>
  <si>
    <t>(€2015/MWh)</t>
  </si>
  <si>
    <t>CAPEX carbone</t>
  </si>
  <si>
    <t>Ciclo a vapore</t>
  </si>
  <si>
    <t>(M€2015/GW)</t>
  </si>
  <si>
    <t>CAPEX gas</t>
  </si>
  <si>
    <t>Ciclo combinato</t>
  </si>
  <si>
    <t>Gas turbine, simple cycle</t>
  </si>
  <si>
    <t>EPR</t>
  </si>
  <si>
    <t>(M$2025/GW)</t>
  </si>
  <si>
    <t>IAEA</t>
  </si>
  <si>
    <t>EPR Francia</t>
  </si>
  <si>
    <t>Overnight cost suggerito da Lorenzo Mazzocco, portato dal 2020 al 2025 tramite inflazione di circa il 33% (vedi messaggio discord su Coordinamento energia)</t>
  </si>
  <si>
    <t xml:space="preserve">CAPEX batterie Li-ion </t>
  </si>
  <si>
    <t>2h</t>
  </si>
  <si>
    <t>Due componenti di costo considerate: power capital cost (€/MW) e energy capital cost (€/MWh). Quest'ultimo moltiplicato per uno "storage duration" di 2 ore. Per ulteriori info, vedere questo paper</t>
  </si>
  <si>
    <t>4h</t>
  </si>
  <si>
    <t>Due componenti di costo considerate: power capital cost (€/MW) e energy capital cost (€/MWh). Quest'ultimo moltiplicato per uno "storage duration" di 4 ore. Per ulteriori info, vedere questo paper</t>
  </si>
  <si>
    <t>2 h - utility</t>
  </si>
  <si>
    <t>Durata dovrebbe essere di 2 h</t>
  </si>
  <si>
    <t>2 h - home</t>
  </si>
  <si>
    <t>(M$2018/GW)</t>
  </si>
  <si>
    <t>EPR Francia, nuova costruzione</t>
  </si>
  <si>
    <t>(M€2024/GW)</t>
  </si>
  <si>
    <t>S&amp;P</t>
  </si>
  <si>
    <t>EPR EU, nuova costruzione</t>
  </si>
  <si>
    <t>($2016/GW)</t>
  </si>
  <si>
    <t>Generico “Nuclear power”</t>
  </si>
  <si>
    <t>discount rate</t>
  </si>
  <si>
    <t>capex [eur/MW]</t>
  </si>
  <si>
    <t>opex_fixed</t>
  </si>
  <si>
    <t>lifetime</t>
  </si>
  <si>
    <t>capacity_factor</t>
  </si>
  <si>
    <t>annualization_factor</t>
  </si>
  <si>
    <t>lcoe [eur/MWh]</t>
  </si>
  <si>
    <t>CAPEX eur2020</t>
  </si>
  <si>
    <t>eur2020_to_2025</t>
  </si>
  <si>
    <t>EUR/MWh (scaled with 631h as the average storage time of hydro in italy)</t>
  </si>
  <si>
    <t>PumpedHydro_Open</t>
  </si>
  <si>
    <t>montenegro</t>
  </si>
  <si>
    <t>tunisia</t>
  </si>
  <si>
    <t>LiquidAirStorage</t>
  </si>
  <si>
    <t>Capex power LDES</t>
  </si>
  <si>
    <t>Capex energy LDES</t>
  </si>
  <si>
    <t>EU</t>
  </si>
  <si>
    <t>EUR2022/MW</t>
  </si>
  <si>
    <t>EUR2022/MWh</t>
  </si>
  <si>
    <t>(€2025/MW)</t>
  </si>
  <si>
    <t>(€2025/MWh)</t>
  </si>
  <si>
    <t>2025,data for capex_power to be input manually in json using values from the sheet "raw_data_techs"</t>
  </si>
  <si>
    <t>no source, just put the same as Li-ion</t>
  </si>
  <si>
    <t>DoE</t>
  </si>
  <si>
    <t>$2022/MW</t>
  </si>
  <si>
    <t>$2022/MWh</t>
  </si>
  <si>
    <t>CompressedAirStorage</t>
  </si>
  <si>
    <t>Capex per charging e discharging</t>
  </si>
  <si>
    <t>Capex per underground 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</si>
</sst>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\€#,##0.00_);[Red]&quot;(€&quot;#,##0.00\)"/>
    <numFmt numFmtId="167" formatCode="0.0E+00"/>
  </numFmts>
  <fonts count="25" x14ac:knownFonts="1">
    <font>
      <sz val="11"/>
      <color theme="1"/>
      <name val="Aptos Narrow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i/>
      <u/>
      <sz val="11"/>
      <color theme="10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name val="Aptos Narrow"/>
      <family val="2"/>
      <charset val="1"/>
    </font>
    <font>
      <sz val="9"/>
      <color rgb="FF000000"/>
      <name val="Tahoma"/>
      <family val="2"/>
      <charset val="1"/>
    </font>
    <font>
      <i/>
      <sz val="11"/>
      <name val="Aptos Narrow"/>
      <family val="2"/>
      <charset val="1"/>
    </font>
    <font>
      <b/>
      <sz val="11"/>
      <name val="Aptos Narrow"/>
      <family val="2"/>
      <charset val="1"/>
    </font>
    <font>
      <b/>
      <sz val="11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b/>
      <sz val="10"/>
      <name val="Arial"/>
      <family val="2"/>
      <charset val="1"/>
    </font>
    <font>
      <b/>
      <sz val="11"/>
      <color rgb="FFFF0000"/>
      <name val="Aptos Narrow"/>
      <family val="2"/>
      <charset val="1"/>
    </font>
    <font>
      <sz val="10"/>
      <color rgb="FFFF0000"/>
      <name val="Arial"/>
      <family val="2"/>
      <charset val="1"/>
    </font>
    <font>
      <i/>
      <u/>
      <sz val="11"/>
      <color rgb="FFFF0000"/>
      <name val="Aptos Narrow"/>
      <family val="2"/>
      <charset val="1"/>
    </font>
    <font>
      <u/>
      <sz val="11"/>
      <color rgb="FFFF0000"/>
      <name val="Aptos Narrow"/>
      <family val="2"/>
      <charset val="1"/>
    </font>
    <font>
      <i/>
      <u/>
      <sz val="11"/>
      <color rgb="FF0000FF"/>
      <name val="Aptos Narrow"/>
      <family val="2"/>
      <charset val="1"/>
    </font>
    <font>
      <u/>
      <sz val="11"/>
      <name val="Aptos Narrow"/>
      <family val="2"/>
      <charset val="1"/>
    </font>
    <font>
      <sz val="10"/>
      <color rgb="FF000000"/>
      <name val="Arial"/>
      <family val="2"/>
      <charset val="1"/>
    </font>
    <font>
      <u/>
      <sz val="11"/>
      <color rgb="FF000000"/>
      <name val="Aptos Narrow"/>
      <family val="2"/>
      <charset val="1"/>
    </font>
    <font>
      <sz val="11"/>
      <color theme="1"/>
      <name val="Aptos Narrow"/>
      <family val="2"/>
    </font>
    <font>
      <sz val="11"/>
      <name val="Aptos Narrow"/>
      <family val="2"/>
    </font>
    <font>
      <sz val="11"/>
      <color theme="1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Border="0" applyProtection="0"/>
    <xf numFmtId="0" fontId="2" fillId="0" borderId="0"/>
  </cellStyleXfs>
  <cellXfs count="70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vertical="center"/>
    </xf>
    <xf numFmtId="0" fontId="3" fillId="0" borderId="0" xfId="1" applyFont="1" applyBorder="1" applyAlignment="1" applyProtection="1">
      <alignment horizontal="center" vertical="center" wrapText="1"/>
    </xf>
    <xf numFmtId="0" fontId="4" fillId="0" borderId="0" xfId="1" applyFont="1" applyBorder="1" applyAlignment="1" applyProtection="1">
      <alignment vertical="center"/>
    </xf>
    <xf numFmtId="2" fontId="0" fillId="0" borderId="0" xfId="0" applyNumberFormat="1" applyAlignment="1" applyProtection="1"/>
    <xf numFmtId="164" fontId="0" fillId="0" borderId="0" xfId="0" applyNumberFormat="1" applyAlignment="1" applyProtection="1">
      <alignment vertical="center"/>
    </xf>
    <xf numFmtId="0" fontId="0" fillId="0" borderId="0" xfId="0" applyFont="1" applyAlignment="1" applyProtection="1">
      <alignment horizontal="left" wrapText="1"/>
    </xf>
    <xf numFmtId="0" fontId="0" fillId="0" borderId="0" xfId="0" applyAlignment="1" applyProtection="1">
      <alignment horizontal="left" vertical="center"/>
    </xf>
    <xf numFmtId="164" fontId="5" fillId="2" borderId="0" xfId="0" applyNumberFormat="1" applyFont="1" applyFill="1" applyAlignment="1" applyProtection="1">
      <alignment vertical="center"/>
    </xf>
    <xf numFmtId="0" fontId="0" fillId="0" borderId="0" xfId="0" applyAlignment="1" applyProtection="1">
      <alignment horizontal="left"/>
    </xf>
    <xf numFmtId="1" fontId="0" fillId="0" borderId="0" xfId="0" applyNumberFormat="1" applyAlignment="1" applyProtection="1">
      <alignment vertical="center"/>
    </xf>
    <xf numFmtId="0" fontId="0" fillId="2" borderId="0" xfId="0" applyFill="1" applyAlignment="1" applyProtection="1">
      <alignment vertical="center"/>
    </xf>
    <xf numFmtId="1" fontId="0" fillId="0" borderId="0" xfId="0" applyNumberFormat="1" applyAlignment="1" applyProtection="1"/>
    <xf numFmtId="0" fontId="7" fillId="0" borderId="0" xfId="0" applyFont="1" applyAlignment="1" applyProtection="1">
      <alignment vertical="center"/>
    </xf>
    <xf numFmtId="165" fontId="0" fillId="0" borderId="0" xfId="0" applyNumberFormat="1" applyAlignment="1" applyProtection="1">
      <alignment vertical="center"/>
    </xf>
    <xf numFmtId="166" fontId="0" fillId="0" borderId="0" xfId="0" applyNumberFormat="1" applyAlignment="1" applyProtection="1"/>
    <xf numFmtId="0" fontId="3" fillId="0" borderId="0" xfId="1" applyFont="1" applyBorder="1" applyAlignment="1" applyProtection="1">
      <alignment horizontal="center" vertical="center"/>
    </xf>
    <xf numFmtId="0" fontId="0" fillId="0" borderId="0" xfId="0" applyFont="1" applyAlignment="1" applyProtection="1"/>
    <xf numFmtId="0" fontId="9" fillId="0" borderId="0" xfId="1" applyFont="1" applyBorder="1" applyAlignment="1" applyProtection="1">
      <alignment horizontal="center" vertical="center" wrapText="1"/>
    </xf>
    <xf numFmtId="0" fontId="10" fillId="0" borderId="0" xfId="0" applyFont="1" applyAlignment="1" applyProtection="1">
      <alignment horizontal="center" vertical="top"/>
    </xf>
    <xf numFmtId="0" fontId="11" fillId="0" borderId="0" xfId="0" applyFont="1" applyAlignment="1" applyProtection="1">
      <alignment horizontal="center" vertical="center"/>
    </xf>
    <xf numFmtId="0" fontId="11" fillId="0" borderId="0" xfId="0" applyFont="1" applyAlignment="1" applyProtection="1">
      <alignment horizontal="center" vertical="center" wrapText="1"/>
    </xf>
    <xf numFmtId="0" fontId="0" fillId="0" borderId="0" xfId="0" applyFont="1" applyAlignment="1" applyProtection="1">
      <alignment vertical="center" wrapText="1"/>
    </xf>
    <xf numFmtId="165" fontId="0" fillId="0" borderId="0" xfId="0" applyNumberFormat="1" applyAlignment="1" applyProtection="1">
      <alignment vertical="center" wrapText="1"/>
    </xf>
    <xf numFmtId="0" fontId="2" fillId="0" borderId="0" xfId="0" applyFont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center"/>
    </xf>
    <xf numFmtId="165" fontId="0" fillId="0" borderId="0" xfId="0" applyNumberFormat="1" applyAlignment="1" applyProtection="1"/>
    <xf numFmtId="0" fontId="12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right" vertical="center"/>
    </xf>
    <xf numFmtId="2" fontId="0" fillId="0" borderId="0" xfId="0" applyNumberFormat="1" applyAlignment="1" applyProtection="1">
      <alignment horizontal="right" vertical="center"/>
    </xf>
    <xf numFmtId="167" fontId="0" fillId="0" borderId="0" xfId="0" applyNumberFormat="1" applyAlignment="1" applyProtection="1">
      <alignment vertical="center"/>
    </xf>
    <xf numFmtId="0" fontId="13" fillId="0" borderId="0" xfId="0" applyFont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 wrapText="1"/>
    </xf>
    <xf numFmtId="0" fontId="0" fillId="0" borderId="0" xfId="0" applyAlignment="1" applyProtection="1">
      <alignment horizontal="right"/>
    </xf>
    <xf numFmtId="0" fontId="0" fillId="0" borderId="0" xfId="0" applyFont="1" applyAlignment="1" applyProtection="1">
      <alignment horizontal="right" vertical="center" wrapText="1"/>
    </xf>
    <xf numFmtId="0" fontId="2" fillId="0" borderId="0" xfId="0" applyFont="1" applyAlignment="1" applyProtection="1">
      <alignment horizontal="center" vertical="center"/>
    </xf>
    <xf numFmtId="0" fontId="4" fillId="0" borderId="0" xfId="1" applyFont="1" applyBorder="1" applyAlignment="1" applyProtection="1">
      <alignment vertical="center" wrapText="1"/>
    </xf>
    <xf numFmtId="0" fontId="4" fillId="0" borderId="0" xfId="1" applyFont="1" applyBorder="1" applyAlignment="1" applyProtection="1"/>
    <xf numFmtId="0" fontId="14" fillId="0" borderId="0" xfId="0" applyFont="1" applyAlignment="1" applyProtection="1"/>
    <xf numFmtId="0" fontId="5" fillId="0" borderId="0" xfId="0" applyFont="1" applyAlignment="1" applyProtection="1">
      <alignment vertical="center"/>
    </xf>
    <xf numFmtId="1" fontId="14" fillId="0" borderId="0" xfId="0" applyNumberFormat="1" applyFont="1" applyAlignment="1" applyProtection="1">
      <alignment vertical="center"/>
    </xf>
    <xf numFmtId="0" fontId="15" fillId="0" borderId="0" xfId="0" applyFont="1" applyAlignment="1" applyProtection="1">
      <alignment horizontal="center" vertical="center"/>
    </xf>
    <xf numFmtId="0" fontId="16" fillId="0" borderId="0" xfId="1" applyFont="1" applyBorder="1" applyAlignment="1" applyProtection="1">
      <alignment horizontal="center" vertical="center" wrapText="1"/>
    </xf>
    <xf numFmtId="0" fontId="5" fillId="0" borderId="0" xfId="0" applyFont="1" applyAlignment="1" applyProtection="1">
      <alignment wrapText="1"/>
    </xf>
    <xf numFmtId="1" fontId="5" fillId="0" borderId="0" xfId="0" applyNumberFormat="1" applyFont="1" applyAlignment="1" applyProtection="1">
      <alignment vertical="center"/>
    </xf>
    <xf numFmtId="0" fontId="17" fillId="0" borderId="0" xfId="1" applyFont="1" applyBorder="1" applyAlignment="1" applyProtection="1">
      <alignment vertical="center" wrapText="1"/>
    </xf>
    <xf numFmtId="1" fontId="7" fillId="0" borderId="0" xfId="0" applyNumberFormat="1" applyFont="1" applyAlignment="1" applyProtection="1">
      <alignment vertical="center"/>
    </xf>
    <xf numFmtId="0" fontId="18" fillId="0" borderId="0" xfId="1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wrapText="1"/>
    </xf>
    <xf numFmtId="0" fontId="19" fillId="0" borderId="0" xfId="1" applyFont="1" applyBorder="1" applyAlignment="1" applyProtection="1">
      <alignment vertical="center" wrapText="1"/>
    </xf>
    <xf numFmtId="0" fontId="7" fillId="0" borderId="0" xfId="1" applyFont="1" applyBorder="1" applyAlignment="1" applyProtection="1">
      <alignment vertical="center" wrapText="1"/>
    </xf>
    <xf numFmtId="0" fontId="5" fillId="0" borderId="0" xfId="1" applyFont="1" applyBorder="1" applyAlignment="1" applyProtection="1">
      <alignment vertical="center" wrapText="1"/>
    </xf>
    <xf numFmtId="0" fontId="6" fillId="0" borderId="0" xfId="0" applyFont="1" applyAlignment="1" applyProtection="1">
      <alignment vertical="center"/>
    </xf>
    <xf numFmtId="1" fontId="6" fillId="0" borderId="0" xfId="0" applyNumberFormat="1" applyFont="1" applyAlignment="1" applyProtection="1">
      <alignment vertical="center"/>
    </xf>
    <xf numFmtId="0" fontId="20" fillId="0" borderId="0" xfId="0" applyFont="1" applyAlignment="1" applyProtection="1">
      <alignment horizontal="center" vertical="center"/>
    </xf>
    <xf numFmtId="0" fontId="21" fillId="0" borderId="0" xfId="1" applyFont="1" applyBorder="1" applyAlignment="1" applyProtection="1">
      <alignment horizontal="center" vertical="center" wrapText="1"/>
    </xf>
    <xf numFmtId="0" fontId="6" fillId="0" borderId="0" xfId="1" applyFont="1" applyBorder="1" applyAlignment="1" applyProtection="1">
      <alignment vertical="center" wrapText="1"/>
    </xf>
    <xf numFmtId="0" fontId="21" fillId="0" borderId="0" xfId="1" applyFont="1" applyBorder="1" applyAlignment="1" applyProtection="1">
      <alignment vertical="center" wrapText="1"/>
    </xf>
    <xf numFmtId="1" fontId="0" fillId="0" borderId="0" xfId="0" applyNumberFormat="1" applyAlignment="1" applyProtection="1">
      <alignment horizontal="right" vertical="center"/>
    </xf>
    <xf numFmtId="1" fontId="2" fillId="0" borderId="0" xfId="0" applyNumberFormat="1" applyFont="1" applyAlignment="1" applyProtection="1">
      <alignment horizontal="right" vertical="center"/>
    </xf>
    <xf numFmtId="1" fontId="5" fillId="0" borderId="0" xfId="0" applyNumberFormat="1" applyFont="1" applyAlignment="1" applyProtection="1">
      <alignment horizontal="right" vertical="center"/>
    </xf>
    <xf numFmtId="0" fontId="17" fillId="0" borderId="0" xfId="1" applyFont="1" applyBorder="1" applyAlignment="1" applyProtection="1">
      <alignment vertical="center"/>
    </xf>
    <xf numFmtId="0" fontId="22" fillId="0" borderId="0" xfId="0" applyFont="1"/>
    <xf numFmtId="164" fontId="0" fillId="0" borderId="0" xfId="0" applyNumberFormat="1"/>
    <xf numFmtId="0" fontId="0" fillId="3" borderId="0" xfId="0" applyFill="1" applyAlignment="1" applyProtection="1">
      <alignment vertical="center"/>
    </xf>
    <xf numFmtId="0" fontId="23" fillId="0" borderId="0" xfId="0" applyFont="1" applyAlignment="1" applyProtection="1">
      <alignment vertical="center"/>
    </xf>
    <xf numFmtId="0" fontId="4" fillId="0" borderId="0" xfId="1" applyBorder="1" applyProtection="1"/>
    <xf numFmtId="0" fontId="24" fillId="0" borderId="0" xfId="1" applyFont="1" applyBorder="1" applyProtection="1"/>
    <xf numFmtId="0" fontId="4" fillId="0" borderId="0" xfId="1" applyProtection="1"/>
  </cellXfs>
  <cellStyles count="3">
    <cellStyle name="Hyperlink" xfId="1" builtinId="8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orldbank.org/en/research/commodity-markets" TargetMode="External"/><Relationship Id="rId3" Type="http://schemas.openxmlformats.org/officeDocument/2006/relationships/hyperlink" Target="https://www.worldbank.org/en/research/commodity-markets" TargetMode="External"/><Relationship Id="rId7" Type="http://schemas.openxmlformats.org/officeDocument/2006/relationships/hyperlink" Target="https://www.worldbank.org/en/research/commodity-markets" TargetMode="External"/><Relationship Id="rId2" Type="http://schemas.openxmlformats.org/officeDocument/2006/relationships/hyperlink" Target="https://www.sciencedirect.com/science/article/pii/S0306261924020166" TargetMode="External"/><Relationship Id="rId1" Type="http://schemas.openxmlformats.org/officeDocument/2006/relationships/hyperlink" Target="https://www.worldbank.org/en/research/commodity-markets" TargetMode="External"/><Relationship Id="rId6" Type="http://schemas.openxmlformats.org/officeDocument/2006/relationships/hyperlink" Target="https://www.worldbank.org/en/research/commodity-markets" TargetMode="External"/><Relationship Id="rId5" Type="http://schemas.openxmlformats.org/officeDocument/2006/relationships/hyperlink" Target="https://www.worldbank.org/en/research/commodity-markets" TargetMode="External"/><Relationship Id="rId4" Type="http://schemas.openxmlformats.org/officeDocument/2006/relationships/hyperlink" Target="https://www.worldbank.org/en/research/commodity-markets" TargetMode="External"/><Relationship Id="rId9" Type="http://schemas.openxmlformats.org/officeDocument/2006/relationships/hyperlink" Target="https://www.worldbank.org/en/research/commodity-market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PyPSA/technology-data" TargetMode="External"/><Relationship Id="rId7" Type="http://schemas.openxmlformats.org/officeDocument/2006/relationships/hyperlink" Target="https://www.energy.gov/sites/default/files/2022-09/2022%20Grid%20Energy%20Storage%20Technology%20Cost%20and%20Performance%20Assessment.pdf" TargetMode="External"/><Relationship Id="rId2" Type="http://schemas.openxmlformats.org/officeDocument/2006/relationships/hyperlink" Target="https://github.com/PyPSA/technology-data" TargetMode="External"/><Relationship Id="rId1" Type="http://schemas.openxmlformats.org/officeDocument/2006/relationships/hyperlink" Target="https://github.com/PyPSA/technology-data" TargetMode="External"/><Relationship Id="rId6" Type="http://schemas.openxmlformats.org/officeDocument/2006/relationships/hyperlink" Target="https://github.com/PyPSA/technology-data" TargetMode="External"/><Relationship Id="rId5" Type="http://schemas.openxmlformats.org/officeDocument/2006/relationships/hyperlink" Target="https://github.com/PyPSA/technology-data" TargetMode="External"/><Relationship Id="rId4" Type="http://schemas.openxmlformats.org/officeDocument/2006/relationships/hyperlink" Target="https://github.com/PyPSA/technology-dat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yPSA/technology-data" TargetMode="External"/><Relationship Id="rId3" Type="http://schemas.openxmlformats.org/officeDocument/2006/relationships/hyperlink" Target="https://netzeroamerica.princeton.edu/img/Princeton_NZA_Interim_Report_15_Dec_2020_FINAL.pdf" TargetMode="External"/><Relationship Id="rId7" Type="http://schemas.openxmlformats.org/officeDocument/2006/relationships/hyperlink" Target="https://github.com/PyPSA/technology-data" TargetMode="External"/><Relationship Id="rId2" Type="http://schemas.openxmlformats.org/officeDocument/2006/relationships/hyperlink" Target="https://github.com/PyPSA/technology-data" TargetMode="External"/><Relationship Id="rId1" Type="http://schemas.openxmlformats.org/officeDocument/2006/relationships/hyperlink" Target="https://github.com/PyPSA/technology-data" TargetMode="External"/><Relationship Id="rId6" Type="http://schemas.openxmlformats.org/officeDocument/2006/relationships/hyperlink" Target="https://github.com/PyPSA/technology-data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github.com/PyPSA/technology-data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github.com/PyPSA/technology-data" TargetMode="External"/><Relationship Id="rId9" Type="http://schemas.openxmlformats.org/officeDocument/2006/relationships/hyperlink" Target="https://www.energy.gov/sites/default/files/2022-09/2022%20Grid%20Energy%20Storage%20Technology%20Cost%20and%20Performance%20Assessment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orldbank.org/en/research/commodity-markets" TargetMode="External"/><Relationship Id="rId1" Type="http://schemas.openxmlformats.org/officeDocument/2006/relationships/hyperlink" Target="https://www.worldbank.org/en/research/commodity-market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cb.europa.eu/stats/macroeconomic_and_sectoral/hicp/html/index.en.html" TargetMode="External"/><Relationship Id="rId13" Type="http://schemas.openxmlformats.org/officeDocument/2006/relationships/hyperlink" Target="https://www.worldbank.org/en/research/commodity-markets" TargetMode="External"/><Relationship Id="rId18" Type="http://schemas.openxmlformats.org/officeDocument/2006/relationships/hyperlink" Target="https://world-nuclear.org/information-library/economic-aspects/economics-of-nuclear-power" TargetMode="External"/><Relationship Id="rId3" Type="http://schemas.openxmlformats.org/officeDocument/2006/relationships/hyperlink" Target="https://www.worldbank.org/en/research/commodity-markets" TargetMode="External"/><Relationship Id="rId21" Type="http://schemas.openxmlformats.org/officeDocument/2006/relationships/vmlDrawing" Target="../drawings/vmlDrawing2.vml"/><Relationship Id="rId7" Type="http://schemas.openxmlformats.org/officeDocument/2006/relationships/hyperlink" Target="https://www.worldbank.org/en/research/commodity-markets" TargetMode="External"/><Relationship Id="rId12" Type="http://schemas.openxmlformats.org/officeDocument/2006/relationships/hyperlink" Target="https://www.worldbank.org/en/research/commodity-markets" TargetMode="External"/><Relationship Id="rId17" Type="http://schemas.openxmlformats.org/officeDocument/2006/relationships/hyperlink" Target="https://www.worldbank.org/en/research/commodity-markets" TargetMode="External"/><Relationship Id="rId2" Type="http://schemas.openxmlformats.org/officeDocument/2006/relationships/hyperlink" Target="https://www.worldbank.org/en/research/commodity-markets" TargetMode="External"/><Relationship Id="rId16" Type="http://schemas.openxmlformats.org/officeDocument/2006/relationships/hyperlink" Target="https://www.worldbank.org/en/research/commodity-markets" TargetMode="External"/><Relationship Id="rId20" Type="http://schemas.openxmlformats.org/officeDocument/2006/relationships/hyperlink" Target="https://www.eia.gov/energyexplained/nuclear/data-and-statistics.php" TargetMode="External"/><Relationship Id="rId1" Type="http://schemas.openxmlformats.org/officeDocument/2006/relationships/hyperlink" Target="https://www.worldbank.org/en/research/commodity-markets" TargetMode="External"/><Relationship Id="rId6" Type="http://schemas.openxmlformats.org/officeDocument/2006/relationships/hyperlink" Target="https://www.worldbank.org/en/research/commodity-markets" TargetMode="External"/><Relationship Id="rId11" Type="http://schemas.openxmlformats.org/officeDocument/2006/relationships/hyperlink" Target="https://www.worldbank.org/en/research/commodity-markets" TargetMode="External"/><Relationship Id="rId5" Type="http://schemas.openxmlformats.org/officeDocument/2006/relationships/hyperlink" Target="https://www.worldbank.org/en/research/commodity-markets" TargetMode="External"/><Relationship Id="rId15" Type="http://schemas.openxmlformats.org/officeDocument/2006/relationships/hyperlink" Target="https://www.worldbank.org/en/research/commodity-markets" TargetMode="External"/><Relationship Id="rId10" Type="http://schemas.openxmlformats.org/officeDocument/2006/relationships/hyperlink" Target="https://www.ecb.europa.eu/stats/macroeconomic_and_sectoral/hicp/html/index.en.html" TargetMode="External"/><Relationship Id="rId19" Type="http://schemas.openxmlformats.org/officeDocument/2006/relationships/hyperlink" Target="https://atb.nrel.gov/electricity/2022/about" TargetMode="External"/><Relationship Id="rId4" Type="http://schemas.openxmlformats.org/officeDocument/2006/relationships/hyperlink" Target="https://www.worldbank.org/en/research/commodity-markets" TargetMode="External"/><Relationship Id="rId9" Type="http://schemas.openxmlformats.org/officeDocument/2006/relationships/hyperlink" Target="https://www.worldbank.org/en/research/commodity-markets" TargetMode="External"/><Relationship Id="rId14" Type="http://schemas.openxmlformats.org/officeDocument/2006/relationships/hyperlink" Target="https://www.worldbank.org/en/research/commodity-markets" TargetMode="External"/><Relationship Id="rId22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atb.nrel.gov/electricity/2022/about" TargetMode="External"/><Relationship Id="rId21" Type="http://schemas.openxmlformats.org/officeDocument/2006/relationships/hyperlink" Target="https://www.worldbank.org/en/research/commodity-markets" TargetMode="External"/><Relationship Id="rId42" Type="http://schemas.openxmlformats.org/officeDocument/2006/relationships/hyperlink" Target="https://atb.nrel.gov/electricity/2022/about" TargetMode="External"/><Relationship Id="rId47" Type="http://schemas.openxmlformats.org/officeDocument/2006/relationships/hyperlink" Target="https://atb.nrel.gov/electricity/2022/about" TargetMode="External"/><Relationship Id="rId63" Type="http://schemas.openxmlformats.org/officeDocument/2006/relationships/hyperlink" Target="https://www.worldbank.org/en/research/commodity-markets" TargetMode="External"/><Relationship Id="rId68" Type="http://schemas.openxmlformats.org/officeDocument/2006/relationships/hyperlink" Target="https://www.sciencedirect.com/science/article/pii/S2352152X24034005" TargetMode="External"/><Relationship Id="rId16" Type="http://schemas.openxmlformats.org/officeDocument/2006/relationships/hyperlink" Target="https://github.com/PyPSA/technology-data" TargetMode="External"/><Relationship Id="rId11" Type="http://schemas.openxmlformats.org/officeDocument/2006/relationships/hyperlink" Target="https://atb.nrel.gov/electricity/2022/about" TargetMode="External"/><Relationship Id="rId24" Type="http://schemas.openxmlformats.org/officeDocument/2006/relationships/hyperlink" Target="https://github.com/PyPSA/technology-data" TargetMode="External"/><Relationship Id="rId32" Type="http://schemas.openxmlformats.org/officeDocument/2006/relationships/hyperlink" Target="https://atb.nrel.gov/electricity/2022/about" TargetMode="External"/><Relationship Id="rId37" Type="http://schemas.openxmlformats.org/officeDocument/2006/relationships/hyperlink" Target="https://github.com/PyPSA/technology-data" TargetMode="External"/><Relationship Id="rId40" Type="http://schemas.openxmlformats.org/officeDocument/2006/relationships/hyperlink" Target="https://atb.nrel.gov/electricity/2022/about" TargetMode="External"/><Relationship Id="rId45" Type="http://schemas.openxmlformats.org/officeDocument/2006/relationships/hyperlink" Target="https://atb.nrel.gov/electricity/2022/about" TargetMode="External"/><Relationship Id="rId53" Type="http://schemas.openxmlformats.org/officeDocument/2006/relationships/hyperlink" Target="https://www.sciencedirect.com/science/article/pii/S2352152X24034005" TargetMode="External"/><Relationship Id="rId58" Type="http://schemas.openxmlformats.org/officeDocument/2006/relationships/hyperlink" Target="https://atb.nrel.gov/electricity/2022/about" TargetMode="External"/><Relationship Id="rId66" Type="http://schemas.openxmlformats.org/officeDocument/2006/relationships/hyperlink" Target="https://www.worldbank.org/en/research/commodity-markets" TargetMode="External"/><Relationship Id="rId74" Type="http://schemas.openxmlformats.org/officeDocument/2006/relationships/hyperlink" Target="https://www.spglobal.com/en/research-insights/special-reports/is-europe-ready-for-a-nuclear-renaissance" TargetMode="External"/><Relationship Id="rId79" Type="http://schemas.openxmlformats.org/officeDocument/2006/relationships/hyperlink" Target="https://www.energy.gov/sites/default/files/2022-09/2022%20Grid%20Energy%20Storage%20Technology%20Cost%20and%20Performance%20Assessment.pdf" TargetMode="External"/><Relationship Id="rId5" Type="http://schemas.openxmlformats.org/officeDocument/2006/relationships/hyperlink" Target="https://www.ecb.europa.eu/stats/macroeconomic_and_sectoral/hicp/html/index.en.html" TargetMode="External"/><Relationship Id="rId61" Type="http://schemas.openxmlformats.org/officeDocument/2006/relationships/hyperlink" Target="https://atb.nrel.gov/electricity/2022/about" TargetMode="External"/><Relationship Id="rId19" Type="http://schemas.openxmlformats.org/officeDocument/2006/relationships/hyperlink" Target="https://atb.nrel.gov/electricity/2022/about" TargetMode="External"/><Relationship Id="rId14" Type="http://schemas.openxmlformats.org/officeDocument/2006/relationships/hyperlink" Target="https://atb.nrel.gov/electricity/2022/about" TargetMode="External"/><Relationship Id="rId22" Type="http://schemas.openxmlformats.org/officeDocument/2006/relationships/hyperlink" Target="https://atb.nrel.gov/electricity/2022/about" TargetMode="External"/><Relationship Id="rId27" Type="http://schemas.openxmlformats.org/officeDocument/2006/relationships/hyperlink" Target="https://www.worldbank.org/en/research/commodity-markets" TargetMode="External"/><Relationship Id="rId30" Type="http://schemas.openxmlformats.org/officeDocument/2006/relationships/hyperlink" Target="https://atb.nrel.gov/electricity/2022/about" TargetMode="External"/><Relationship Id="rId35" Type="http://schemas.openxmlformats.org/officeDocument/2006/relationships/hyperlink" Target="https://www.worldbank.org/en/research/commodity-markets" TargetMode="External"/><Relationship Id="rId43" Type="http://schemas.openxmlformats.org/officeDocument/2006/relationships/hyperlink" Target="https://github.com/PyPSA/technology-data" TargetMode="External"/><Relationship Id="rId48" Type="http://schemas.openxmlformats.org/officeDocument/2006/relationships/hyperlink" Target="https://github.com/PyPSA/technology-data" TargetMode="External"/><Relationship Id="rId56" Type="http://schemas.openxmlformats.org/officeDocument/2006/relationships/hyperlink" Target="https://www.sciencedirect.com/science/article/pii/S2352152X24034005" TargetMode="External"/><Relationship Id="rId64" Type="http://schemas.openxmlformats.org/officeDocument/2006/relationships/hyperlink" Target="https://atb.nrel.gov/electricity/2022/about" TargetMode="External"/><Relationship Id="rId69" Type="http://schemas.openxmlformats.org/officeDocument/2006/relationships/hyperlink" Target="https://github.com/PyPSA/technology-data" TargetMode="External"/><Relationship Id="rId77" Type="http://schemas.openxmlformats.org/officeDocument/2006/relationships/hyperlink" Target="https://op.europa.eu/en/publication-detail/-/publication/dfcaa78b-c217-11ed-8912-01aa75ed71a1" TargetMode="External"/><Relationship Id="rId8" Type="http://schemas.openxmlformats.org/officeDocument/2006/relationships/hyperlink" Target="https://github.com/PyPSA/technology-data" TargetMode="External"/><Relationship Id="rId51" Type="http://schemas.openxmlformats.org/officeDocument/2006/relationships/hyperlink" Target="https://www.worldbank.org/en/research/commodity-markets" TargetMode="External"/><Relationship Id="rId72" Type="http://schemas.openxmlformats.org/officeDocument/2006/relationships/hyperlink" Target="https://github.com/PyPSA/technology-data/blob/master/inputs/technology_data_catalogue_for_energy_storage.xlsx" TargetMode="External"/><Relationship Id="rId3" Type="http://schemas.openxmlformats.org/officeDocument/2006/relationships/hyperlink" Target="https://www.worldbank.org/en/research/commodity-markets" TargetMode="External"/><Relationship Id="rId12" Type="http://schemas.openxmlformats.org/officeDocument/2006/relationships/hyperlink" Target="https://www.ecb.europa.eu/stats/macroeconomic_and_sectoral/hicp/html/index.en.html" TargetMode="External"/><Relationship Id="rId17" Type="http://schemas.openxmlformats.org/officeDocument/2006/relationships/hyperlink" Target="https://www.bancaditalia.it/compiti/operazioni-cambi/cambio/cambi_rif_20181231/?dotcache=refresh" TargetMode="External"/><Relationship Id="rId25" Type="http://schemas.openxmlformats.org/officeDocument/2006/relationships/hyperlink" Target="https://www.worldbank.org/en/research/commodity-markets" TargetMode="External"/><Relationship Id="rId33" Type="http://schemas.openxmlformats.org/officeDocument/2006/relationships/hyperlink" Target="https://www.worldbank.org/en/research/commodity-markets" TargetMode="External"/><Relationship Id="rId38" Type="http://schemas.openxmlformats.org/officeDocument/2006/relationships/hyperlink" Target="https://github.com/PyPSA/technology-data" TargetMode="External"/><Relationship Id="rId46" Type="http://schemas.openxmlformats.org/officeDocument/2006/relationships/hyperlink" Target="https://www.worldbank.org/en/research/commodity-markets" TargetMode="External"/><Relationship Id="rId59" Type="http://schemas.openxmlformats.org/officeDocument/2006/relationships/hyperlink" Target="https://www.sciencedirect.com/science/article/pii/S2352152X24034005" TargetMode="External"/><Relationship Id="rId67" Type="http://schemas.openxmlformats.org/officeDocument/2006/relationships/hyperlink" Target="https://atb.nrel.gov/electricity/2022/about" TargetMode="External"/><Relationship Id="rId20" Type="http://schemas.openxmlformats.org/officeDocument/2006/relationships/hyperlink" Target="https://www.bancaditalia.it/compiti/operazioni-cambi/cambio/cambi_rif_20181231/?dotcache=refresh" TargetMode="External"/><Relationship Id="rId41" Type="http://schemas.openxmlformats.org/officeDocument/2006/relationships/hyperlink" Target="https://www.worldbank.org/en/research/commodity-markets" TargetMode="External"/><Relationship Id="rId54" Type="http://schemas.openxmlformats.org/officeDocument/2006/relationships/hyperlink" Target="https://www.worldbank.org/en/research/commodity-markets" TargetMode="External"/><Relationship Id="rId62" Type="http://schemas.openxmlformats.org/officeDocument/2006/relationships/hyperlink" Target="https://www.sciencedirect.com/science/article/pii/S2352152X24034005" TargetMode="External"/><Relationship Id="rId70" Type="http://schemas.openxmlformats.org/officeDocument/2006/relationships/hyperlink" Target="https://github.com/PyPSA/technology-data/blob/master/inputs/technology_data_catalogue_for_energy_storage.xlsx" TargetMode="External"/><Relationship Id="rId75" Type="http://schemas.openxmlformats.org/officeDocument/2006/relationships/hyperlink" Target="https://netzeroamerica.princeton.edu/img/Princeton_NZA_Interim_Report_15_Dec_2020_FINAL.pdf" TargetMode="External"/><Relationship Id="rId1" Type="http://schemas.openxmlformats.org/officeDocument/2006/relationships/hyperlink" Target="https://www.worldbank.org/en/research/commodity-markets" TargetMode="External"/><Relationship Id="rId6" Type="http://schemas.openxmlformats.org/officeDocument/2006/relationships/hyperlink" Target="https://github.com/PyPSA/technology-data" TargetMode="External"/><Relationship Id="rId15" Type="http://schemas.openxmlformats.org/officeDocument/2006/relationships/hyperlink" Target="https://www.ecb.europa.eu/stats/macroeconomic_and_sectoral/hicp/html/index.en.html" TargetMode="External"/><Relationship Id="rId23" Type="http://schemas.openxmlformats.org/officeDocument/2006/relationships/hyperlink" Target="https://www.ecb.europa.eu/stats/macroeconomic_and_sectoral/hicp/html/index.en.html" TargetMode="External"/><Relationship Id="rId28" Type="http://schemas.openxmlformats.org/officeDocument/2006/relationships/hyperlink" Target="https://atb.nrel.gov/electricity/2022/about" TargetMode="External"/><Relationship Id="rId36" Type="http://schemas.openxmlformats.org/officeDocument/2006/relationships/hyperlink" Target="https://atb.nrel.gov/electricity/2022/about" TargetMode="External"/><Relationship Id="rId49" Type="http://schemas.openxmlformats.org/officeDocument/2006/relationships/hyperlink" Target="https://iea.blob.core.windows.net/assets/ae17da3d-e8a5-4163-a3ec-2e6fb0b5677d/Projected-Costs-of-Generating-Electricity-2020.pdf" TargetMode="External"/><Relationship Id="rId57" Type="http://schemas.openxmlformats.org/officeDocument/2006/relationships/hyperlink" Target="https://www.worldbank.org/en/research/commodity-markets" TargetMode="External"/><Relationship Id="rId10" Type="http://schemas.openxmlformats.org/officeDocument/2006/relationships/hyperlink" Target="https://www.worldbank.org/en/research/commodity-markets" TargetMode="External"/><Relationship Id="rId31" Type="http://schemas.openxmlformats.org/officeDocument/2006/relationships/hyperlink" Target="https://www.worldbank.org/en/research/commodity-markets" TargetMode="External"/><Relationship Id="rId44" Type="http://schemas.openxmlformats.org/officeDocument/2006/relationships/hyperlink" Target="https://www.worldbank.org/en/research/commodity-markets" TargetMode="External"/><Relationship Id="rId52" Type="http://schemas.openxmlformats.org/officeDocument/2006/relationships/hyperlink" Target="https://atb.nrel.gov/electricity/2022/about" TargetMode="External"/><Relationship Id="rId60" Type="http://schemas.openxmlformats.org/officeDocument/2006/relationships/hyperlink" Target="https://www.worldbank.org/en/research/commodity-markets" TargetMode="External"/><Relationship Id="rId65" Type="http://schemas.openxmlformats.org/officeDocument/2006/relationships/hyperlink" Target="https://www.sciencedirect.com/science/article/pii/S2352152X24034005" TargetMode="External"/><Relationship Id="rId73" Type="http://schemas.openxmlformats.org/officeDocument/2006/relationships/hyperlink" Target="https://iea.blob.core.windows.net/assets/ae17da3d-e8a5-4163-a3ec-2e6fb0b5677d/Projected-Costs-of-Generating-Electricity-2020.pdf" TargetMode="External"/><Relationship Id="rId78" Type="http://schemas.openxmlformats.org/officeDocument/2006/relationships/hyperlink" Target="https://www.energy.gov/sites/default/files/2022-09/2022%20Grid%20Energy%20Storage%20Technology%20Cost%20and%20Performance%20Assessment.pdf" TargetMode="External"/><Relationship Id="rId4" Type="http://schemas.openxmlformats.org/officeDocument/2006/relationships/hyperlink" Target="https://atb.nrel.gov/electricity/2022/about" TargetMode="External"/><Relationship Id="rId9" Type="http://schemas.openxmlformats.org/officeDocument/2006/relationships/hyperlink" Target="https://www.ecb.europa.eu/stats/macroeconomic_and_sectoral/hicp/html/index.en.html" TargetMode="External"/><Relationship Id="rId13" Type="http://schemas.openxmlformats.org/officeDocument/2006/relationships/hyperlink" Target="https://www.worldbank.org/en/research/commodity-markets" TargetMode="External"/><Relationship Id="rId18" Type="http://schemas.openxmlformats.org/officeDocument/2006/relationships/hyperlink" Target="https://www.worldbank.org/en/research/commodity-markets" TargetMode="External"/><Relationship Id="rId39" Type="http://schemas.openxmlformats.org/officeDocument/2006/relationships/hyperlink" Target="https://www.worldbank.org/en/research/commodity-markets" TargetMode="External"/><Relationship Id="rId34" Type="http://schemas.openxmlformats.org/officeDocument/2006/relationships/hyperlink" Target="https://atb.nrel.gov/electricity/2022/about" TargetMode="External"/><Relationship Id="rId50" Type="http://schemas.openxmlformats.org/officeDocument/2006/relationships/hyperlink" Target="https://discord.com/channels/1294670469055643710/1309503227431092244/1351953237351338015" TargetMode="External"/><Relationship Id="rId55" Type="http://schemas.openxmlformats.org/officeDocument/2006/relationships/hyperlink" Target="https://atb.nrel.gov/electricity/2022/about" TargetMode="External"/><Relationship Id="rId76" Type="http://schemas.openxmlformats.org/officeDocument/2006/relationships/hyperlink" Target="https://op.europa.eu/en/publication-detail/-/publication/dfcaa78b-c217-11ed-8912-01aa75ed71a1" TargetMode="External"/><Relationship Id="rId7" Type="http://schemas.openxmlformats.org/officeDocument/2006/relationships/hyperlink" Target="https://www.ecb.europa.eu/stats/macroeconomic_and_sectoral/hicp/html/index.en.html" TargetMode="External"/><Relationship Id="rId71" Type="http://schemas.openxmlformats.org/officeDocument/2006/relationships/hyperlink" Target="https://github.com/PyPSA/technology-data" TargetMode="External"/><Relationship Id="rId2" Type="http://schemas.openxmlformats.org/officeDocument/2006/relationships/hyperlink" Target="https://atb.nrel.gov/electricity/2022/about" TargetMode="External"/><Relationship Id="rId29" Type="http://schemas.openxmlformats.org/officeDocument/2006/relationships/hyperlink" Target="https://www.worldbank.org/en/research/commodity-mark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zoomScale="110" zoomScaleNormal="110" workbookViewId="0">
      <selection activeCell="A14" sqref="A14"/>
    </sheetView>
  </sheetViews>
  <sheetFormatPr defaultColWidth="8.5546875" defaultRowHeight="14.4" x14ac:dyDescent="0.3"/>
  <cols>
    <col min="1" max="1" width="32.44140625" style="1" customWidth="1"/>
    <col min="2" max="2" width="11.88671875" style="1" customWidth="1"/>
    <col min="3" max="3" width="14.44140625" style="1" customWidth="1"/>
    <col min="4" max="4" width="19.5546875" style="1" customWidth="1"/>
    <col min="5" max="5" width="35.6640625" style="1" customWidth="1"/>
  </cols>
  <sheetData>
    <row r="1" spans="1:5" ht="16.5" customHeight="1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 s="2">
        <v>5.7000000000000002E-2</v>
      </c>
      <c r="C2" s="2" t="s">
        <v>5</v>
      </c>
      <c r="D2" s="3" t="s">
        <v>6</v>
      </c>
      <c r="E2" s="4" t="s">
        <v>7</v>
      </c>
    </row>
    <row r="3" spans="1:5" x14ac:dyDescent="0.3">
      <c r="A3" s="1" t="s">
        <v>8</v>
      </c>
      <c r="B3" s="2">
        <v>7.5999999999999998E-2</v>
      </c>
      <c r="C3" s="2" t="s">
        <v>5</v>
      </c>
      <c r="D3" s="3" t="s">
        <v>6</v>
      </c>
      <c r="E3" s="4" t="s">
        <v>7</v>
      </c>
    </row>
    <row r="4" spans="1:5" ht="18.75" customHeight="1" x14ac:dyDescent="0.3">
      <c r="A4" s="2" t="s">
        <v>9</v>
      </c>
      <c r="B4" s="2">
        <v>4.4999999999999998E-2</v>
      </c>
      <c r="C4" s="2" t="s">
        <v>5</v>
      </c>
      <c r="D4" s="3" t="s">
        <v>6</v>
      </c>
      <c r="E4" s="4"/>
    </row>
    <row r="5" spans="1:5" ht="18.75" customHeight="1" x14ac:dyDescent="0.3">
      <c r="A5" s="1" t="s">
        <v>10</v>
      </c>
      <c r="B5" s="2">
        <v>0.08</v>
      </c>
      <c r="C5" s="2" t="s">
        <v>5</v>
      </c>
      <c r="D5" s="3" t="s">
        <v>6</v>
      </c>
      <c r="E5" s="4"/>
    </row>
    <row r="6" spans="1:5" ht="16.5" customHeight="1" x14ac:dyDescent="0.3">
      <c r="A6" s="1" t="s">
        <v>11</v>
      </c>
      <c r="B6" s="2">
        <v>5.1999999999999998E-2</v>
      </c>
      <c r="C6" s="2" t="s">
        <v>5</v>
      </c>
      <c r="D6" s="3" t="s">
        <v>6</v>
      </c>
      <c r="E6" s="4" t="s">
        <v>7</v>
      </c>
    </row>
    <row r="7" spans="1:5" ht="19.5" customHeight="1" x14ac:dyDescent="0.3">
      <c r="A7" s="1" t="s">
        <v>12</v>
      </c>
      <c r="B7" s="2">
        <v>2.7E-2</v>
      </c>
      <c r="C7" s="2" t="s">
        <v>5</v>
      </c>
      <c r="D7" s="3" t="s">
        <v>6</v>
      </c>
      <c r="E7" s="4" t="s">
        <v>7</v>
      </c>
    </row>
    <row r="8" spans="1:5" ht="15" customHeight="1" x14ac:dyDescent="0.3">
      <c r="A8" s="1" t="s">
        <v>13</v>
      </c>
      <c r="B8" s="2">
        <v>6.2E-2</v>
      </c>
      <c r="C8" s="2" t="s">
        <v>5</v>
      </c>
      <c r="D8" s="3" t="s">
        <v>6</v>
      </c>
      <c r="E8" s="4" t="s">
        <v>7</v>
      </c>
    </row>
    <row r="9" spans="1:5" x14ac:dyDescent="0.3">
      <c r="A9" s="1" t="s">
        <v>149</v>
      </c>
      <c r="B9" s="2">
        <v>5.1999999999999998E-2</v>
      </c>
      <c r="C9" s="2" t="s">
        <v>5</v>
      </c>
      <c r="D9" s="3" t="s">
        <v>6</v>
      </c>
      <c r="E9" s="4" t="s">
        <v>7</v>
      </c>
    </row>
    <row r="10" spans="1:5" x14ac:dyDescent="0.3">
      <c r="A10" s="1" t="s">
        <v>165</v>
      </c>
      <c r="B10" s="65">
        <v>0.08</v>
      </c>
      <c r="C10" s="2" t="s">
        <v>5</v>
      </c>
      <c r="D10" s="68" t="s">
        <v>161</v>
      </c>
    </row>
    <row r="17" spans="4:4" x14ac:dyDescent="0.3">
      <c r="D17" s="5">
        <f>PMT(0.07,25,1)</f>
        <v>-8.5810517220665614E-2</v>
      </c>
    </row>
  </sheetData>
  <hyperlinks>
    <hyperlink ref="D2" r:id="rId1" xr:uid="{00000000-0004-0000-0000-000000000000}"/>
    <hyperlink ref="E2" r:id="rId2" xr:uid="{00000000-0004-0000-0000-000001000000}"/>
    <hyperlink ref="D3" r:id="rId3" xr:uid="{00000000-0004-0000-0000-000002000000}"/>
    <hyperlink ref="D4" r:id="rId4" xr:uid="{00000000-0004-0000-0000-000003000000}"/>
    <hyperlink ref="D5" r:id="rId5" xr:uid="{00000000-0004-0000-0000-000004000000}"/>
    <hyperlink ref="D6" r:id="rId6" xr:uid="{00000000-0004-0000-0000-000005000000}"/>
    <hyperlink ref="D7" r:id="rId7" xr:uid="{00000000-0004-0000-0000-000006000000}"/>
    <hyperlink ref="D8" r:id="rId8" xr:uid="{00000000-0004-0000-0000-000007000000}"/>
    <hyperlink ref="D9" r:id="rId9" xr:uid="{00000000-0004-0000-0000-000008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="110" zoomScaleNormal="110" workbookViewId="0">
      <selection activeCell="D10" sqref="D10"/>
    </sheetView>
  </sheetViews>
  <sheetFormatPr defaultColWidth="8.5546875" defaultRowHeight="14.4" x14ac:dyDescent="0.3"/>
  <cols>
    <col min="1" max="1" width="32.44140625" style="1" customWidth="1"/>
    <col min="2" max="2" width="8.88671875" style="1" customWidth="1"/>
    <col min="3" max="3" width="14.44140625" style="1" customWidth="1"/>
    <col min="4" max="4" width="19.5546875" style="1" customWidth="1"/>
    <col min="5" max="5" width="35.6640625" style="1" customWidth="1"/>
  </cols>
  <sheetData>
    <row r="1" spans="1:5" ht="16.5" customHeight="1" x14ac:dyDescent="0.3">
      <c r="B1" s="1" t="s">
        <v>14</v>
      </c>
      <c r="C1" s="1" t="s">
        <v>1</v>
      </c>
      <c r="D1" s="1" t="s">
        <v>2</v>
      </c>
      <c r="E1" s="1" t="s">
        <v>3</v>
      </c>
    </row>
    <row r="2" spans="1:5" ht="43.2" x14ac:dyDescent="0.3">
      <c r="A2" s="1" t="s">
        <v>4</v>
      </c>
      <c r="B2" s="6">
        <f>1.7275/100</f>
        <v>1.7274999999999999E-2</v>
      </c>
      <c r="C2" s="2" t="s">
        <v>5</v>
      </c>
      <c r="D2" s="3" t="s">
        <v>15</v>
      </c>
      <c r="E2" s="7" t="s">
        <v>16</v>
      </c>
    </row>
    <row r="3" spans="1:5" ht="28.8" x14ac:dyDescent="0.3">
      <c r="A3" s="1" t="s">
        <v>8</v>
      </c>
      <c r="B3" s="6">
        <f>1.2347/100</f>
        <v>1.2346999999999999E-2</v>
      </c>
      <c r="C3" s="2" t="s">
        <v>5</v>
      </c>
      <c r="D3" s="3" t="s">
        <v>15</v>
      </c>
      <c r="E3" s="8">
        <v>2025</v>
      </c>
    </row>
    <row r="4" spans="1:5" ht="18.75" customHeight="1" x14ac:dyDescent="0.3">
      <c r="A4" s="2" t="s">
        <v>9</v>
      </c>
      <c r="B4" s="9">
        <v>3.3000000000000002E-2</v>
      </c>
      <c r="C4" s="2" t="s">
        <v>5</v>
      </c>
      <c r="D4" s="3"/>
      <c r="E4" s="8" t="s">
        <v>17</v>
      </c>
    </row>
    <row r="5" spans="1:5" ht="18.75" customHeight="1" x14ac:dyDescent="0.3">
      <c r="A5" s="1" t="s">
        <v>10</v>
      </c>
      <c r="B5" s="9">
        <v>1.7000000000000001E-2</v>
      </c>
      <c r="C5" s="2" t="s">
        <v>5</v>
      </c>
      <c r="D5" s="3"/>
      <c r="E5" s="8" t="s">
        <v>18</v>
      </c>
    </row>
    <row r="6" spans="1:5" ht="16.5" customHeight="1" x14ac:dyDescent="0.3">
      <c r="A6" s="1" t="s">
        <v>11</v>
      </c>
      <c r="B6" s="6">
        <f>1/100</f>
        <v>0.01</v>
      </c>
      <c r="C6" s="2" t="s">
        <v>5</v>
      </c>
      <c r="D6" s="3" t="s">
        <v>15</v>
      </c>
      <c r="E6" s="10">
        <v>2025</v>
      </c>
    </row>
    <row r="7" spans="1:5" ht="19.5" customHeight="1" x14ac:dyDescent="0.3">
      <c r="A7" s="1" t="s">
        <v>12</v>
      </c>
      <c r="B7" s="6">
        <f>3.313/100</f>
        <v>3.313E-2</v>
      </c>
      <c r="C7" s="2" t="s">
        <v>5</v>
      </c>
      <c r="D7" s="3" t="s">
        <v>15</v>
      </c>
      <c r="E7" s="8" t="s">
        <v>19</v>
      </c>
    </row>
    <row r="8" spans="1:5" ht="15" customHeight="1" x14ac:dyDescent="0.3">
      <c r="A8" s="1" t="s">
        <v>13</v>
      </c>
      <c r="B8" s="6">
        <f>1.6316/100</f>
        <v>1.6316000000000001E-2</v>
      </c>
      <c r="C8" s="2" t="s">
        <v>5</v>
      </c>
      <c r="D8" s="3" t="s">
        <v>15</v>
      </c>
      <c r="E8" s="8">
        <v>2025</v>
      </c>
    </row>
    <row r="9" spans="1:5" ht="28.8" x14ac:dyDescent="0.3">
      <c r="A9" s="1" t="s">
        <v>149</v>
      </c>
      <c r="B9" s="6">
        <f>0.43/100</f>
        <v>4.3E-3</v>
      </c>
      <c r="C9" s="2" t="s">
        <v>5</v>
      </c>
      <c r="D9" s="3" t="s">
        <v>15</v>
      </c>
      <c r="E9" s="10">
        <v>2025</v>
      </c>
    </row>
    <row r="10" spans="1:5" x14ac:dyDescent="0.3">
      <c r="A10" s="1" t="s">
        <v>165</v>
      </c>
      <c r="B10" s="1">
        <v>4.2999999999999997E-2</v>
      </c>
      <c r="C10" s="2" t="s">
        <v>5</v>
      </c>
      <c r="D10" s="69" t="s">
        <v>162</v>
      </c>
    </row>
  </sheetData>
  <hyperlinks>
    <hyperlink ref="D2" r:id="rId1" xr:uid="{00000000-0004-0000-0100-000000000000}"/>
    <hyperlink ref="D3" r:id="rId2" xr:uid="{00000000-0004-0000-0100-000001000000}"/>
    <hyperlink ref="D6" r:id="rId3" xr:uid="{00000000-0004-0000-0100-000002000000}"/>
    <hyperlink ref="D7" r:id="rId4" xr:uid="{00000000-0004-0000-0100-000003000000}"/>
    <hyperlink ref="D8" r:id="rId5" xr:uid="{00000000-0004-0000-0100-000004000000}"/>
    <hyperlink ref="D9" r:id="rId6" xr:uid="{00000000-0004-0000-0100-000005000000}"/>
    <hyperlink ref="D10" r:id="rId7" location="page=118.76" xr:uid="{9605EBFC-04D5-4991-833B-F8DDAC99C48F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abSelected="1" zoomScale="110" zoomScaleNormal="110" workbookViewId="0">
      <selection activeCell="B11" sqref="B11"/>
    </sheetView>
  </sheetViews>
  <sheetFormatPr defaultColWidth="8.5546875" defaultRowHeight="14.4" x14ac:dyDescent="0.3"/>
  <cols>
    <col min="1" max="1" width="32.44140625" style="1" customWidth="1"/>
    <col min="2" max="2" width="55.6640625" style="1" bestFit="1" customWidth="1"/>
    <col min="3" max="3" width="18.44140625" style="1" customWidth="1"/>
    <col min="4" max="4" width="19.5546875" style="1" customWidth="1"/>
    <col min="5" max="5" width="35.6640625" style="1" customWidth="1"/>
    <col min="6" max="6" width="13.6640625" bestFit="1" customWidth="1"/>
    <col min="7" max="7" width="15" bestFit="1" customWidth="1"/>
  </cols>
  <sheetData>
    <row r="1" spans="1:7" ht="16.5" customHeight="1" x14ac:dyDescent="0.3">
      <c r="B1" s="1" t="s">
        <v>20</v>
      </c>
      <c r="C1" s="1" t="s">
        <v>1</v>
      </c>
      <c r="D1" s="1" t="s">
        <v>2</v>
      </c>
      <c r="E1" s="1" t="s">
        <v>3</v>
      </c>
      <c r="F1" s="1" t="s">
        <v>146</v>
      </c>
      <c r="G1" s="1" t="s">
        <v>147</v>
      </c>
    </row>
    <row r="2" spans="1:7" ht="43.2" x14ac:dyDescent="0.3">
      <c r="A2" s="1" t="s">
        <v>4</v>
      </c>
      <c r="B2" s="11">
        <f>F2*$G$2</f>
        <v>591394.5</v>
      </c>
      <c r="C2" s="2" t="s">
        <v>21</v>
      </c>
      <c r="D2" s="3" t="s">
        <v>15</v>
      </c>
      <c r="E2" s="7" t="s">
        <v>16</v>
      </c>
      <c r="F2" s="11">
        <v>473115.6</v>
      </c>
      <c r="G2">
        <v>1.25</v>
      </c>
    </row>
    <row r="3" spans="1:7" ht="28.8" x14ac:dyDescent="0.3">
      <c r="A3" s="1" t="s">
        <v>8</v>
      </c>
      <c r="B3" s="11">
        <f t="shared" ref="B3:B9" si="0">F3*$G$2</f>
        <v>2265516.6675000004</v>
      </c>
      <c r="C3" s="12" t="s">
        <v>22</v>
      </c>
      <c r="D3" s="3" t="s">
        <v>15</v>
      </c>
      <c r="E3" s="8">
        <v>2025</v>
      </c>
      <c r="F3" s="12">
        <f>1208275.556*1.5</f>
        <v>1812413.3340000003</v>
      </c>
    </row>
    <row r="4" spans="1:7" ht="18.75" customHeight="1" x14ac:dyDescent="0.3">
      <c r="A4" s="2" t="s">
        <v>9</v>
      </c>
      <c r="B4" s="11">
        <f t="shared" si="0"/>
        <v>8296176.25</v>
      </c>
      <c r="C4" s="2" t="s">
        <v>21</v>
      </c>
      <c r="D4" s="3" t="s">
        <v>23</v>
      </c>
      <c r="E4" s="8" t="s">
        <v>24</v>
      </c>
      <c r="F4" s="53">
        <v>6636941</v>
      </c>
    </row>
    <row r="5" spans="1:7" ht="24.75" customHeight="1" x14ac:dyDescent="0.3">
      <c r="A5" s="1" t="s">
        <v>10</v>
      </c>
      <c r="B5" s="11">
        <f t="shared" si="0"/>
        <v>190034.85225</v>
      </c>
      <c r="C5" s="2" t="s">
        <v>25</v>
      </c>
      <c r="D5" s="3" t="s">
        <v>15</v>
      </c>
      <c r="E5" s="8" t="s">
        <v>26</v>
      </c>
      <c r="F5" s="13">
        <f>506759.606*0.3</f>
        <v>152027.8818</v>
      </c>
    </row>
    <row r="6" spans="1:7" ht="34.5" customHeight="1" x14ac:dyDescent="0.3">
      <c r="A6" s="1" t="s">
        <v>11</v>
      </c>
      <c r="B6" s="11">
        <f>F6*$G$2/631</f>
        <v>5137.2665966719487</v>
      </c>
      <c r="C6" s="65" t="s">
        <v>148</v>
      </c>
      <c r="D6" s="3" t="s">
        <v>15</v>
      </c>
      <c r="E6" s="10">
        <v>2025</v>
      </c>
      <c r="F6" s="2">
        <v>2593292.1779999998</v>
      </c>
    </row>
    <row r="7" spans="1:7" ht="34.5" customHeight="1" x14ac:dyDescent="0.3">
      <c r="A7" s="1" t="s">
        <v>12</v>
      </c>
      <c r="B7" s="11">
        <f t="shared" si="0"/>
        <v>806232.55499999993</v>
      </c>
      <c r="C7" s="2" t="s">
        <v>21</v>
      </c>
      <c r="D7" s="3" t="s">
        <v>15</v>
      </c>
      <c r="E7" s="8" t="s">
        <v>19</v>
      </c>
      <c r="F7" s="14">
        <v>644986.04399999999</v>
      </c>
    </row>
    <row r="8" spans="1:7" ht="30.75" customHeight="1" x14ac:dyDescent="0.3">
      <c r="A8" s="1" t="s">
        <v>13</v>
      </c>
      <c r="B8" s="11">
        <f t="shared" si="0"/>
        <v>2636363.1</v>
      </c>
      <c r="C8" s="2" t="s">
        <v>21</v>
      </c>
      <c r="D8" s="3" t="s">
        <v>15</v>
      </c>
      <c r="E8" s="8">
        <v>2025</v>
      </c>
      <c r="F8" s="14">
        <v>2109090.48</v>
      </c>
    </row>
    <row r="9" spans="1:7" ht="28.8" x14ac:dyDescent="0.3">
      <c r="A9" s="1" t="s">
        <v>149</v>
      </c>
      <c r="B9" s="11">
        <f t="shared" si="0"/>
        <v>75623.1328125</v>
      </c>
      <c r="C9" s="2" t="s">
        <v>25</v>
      </c>
      <c r="D9" s="3" t="s">
        <v>15</v>
      </c>
      <c r="E9" s="10">
        <v>2025</v>
      </c>
      <c r="F9" s="15">
        <v>60498.506249999999</v>
      </c>
    </row>
    <row r="10" spans="1:7" x14ac:dyDescent="0.3">
      <c r="A10" s="1" t="s">
        <v>165</v>
      </c>
      <c r="B10" s="1">
        <f>raw_data_techs!I41</f>
        <v>5995.8648000000003</v>
      </c>
      <c r="C10" s="2" t="s">
        <v>25</v>
      </c>
      <c r="D10" s="69" t="s">
        <v>162</v>
      </c>
      <c r="E10" s="8" t="s">
        <v>160</v>
      </c>
    </row>
    <row r="18" spans="5:5" x14ac:dyDescent="0.3">
      <c r="E18" s="16"/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location="page=118.76" xr:uid="{BC67D475-3E6B-4D8D-9F54-E7119539B12D}"/>
  </hyperlinks>
  <pageMargins left="0.7" right="0.7" top="0.75" bottom="0.75" header="0.511811023622047" footer="0.511811023622047"/>
  <pageSetup paperSize="9" orientation="portrait" horizontalDpi="300" verticalDpi="300"/>
  <legacy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zoomScale="110" zoomScaleNormal="110" workbookViewId="0">
      <selection activeCell="A3" sqref="A3"/>
    </sheetView>
  </sheetViews>
  <sheetFormatPr defaultColWidth="8.5546875" defaultRowHeight="14.4" x14ac:dyDescent="0.3"/>
  <cols>
    <col min="1" max="1" width="32.44140625" style="1" customWidth="1"/>
    <col min="2" max="2" width="8.88671875" style="1" customWidth="1"/>
    <col min="3" max="3" width="10" style="1" customWidth="1"/>
    <col min="4" max="4" width="19.5546875" style="1" customWidth="1"/>
    <col min="5" max="5" width="35.6640625" style="1" customWidth="1"/>
  </cols>
  <sheetData>
    <row r="1" spans="1:5" ht="16.5" customHeight="1" x14ac:dyDescent="0.3">
      <c r="B1" s="1" t="s">
        <v>27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28</v>
      </c>
      <c r="B2" s="11">
        <v>27.5385565706876</v>
      </c>
      <c r="C2" s="2" t="s">
        <v>29</v>
      </c>
      <c r="D2" s="17" t="s">
        <v>30</v>
      </c>
      <c r="E2" s="18" t="s">
        <v>31</v>
      </c>
    </row>
    <row r="3" spans="1:5" x14ac:dyDescent="0.3">
      <c r="A3" s="2" t="s">
        <v>32</v>
      </c>
      <c r="B3" s="11">
        <v>10.3311463705741</v>
      </c>
      <c r="C3" s="2" t="s">
        <v>29</v>
      </c>
      <c r="D3" s="17" t="s">
        <v>30</v>
      </c>
      <c r="E3" s="18" t="s">
        <v>31</v>
      </c>
    </row>
    <row r="4" spans="1:5" ht="42" customHeight="1" x14ac:dyDescent="0.3">
      <c r="A4" s="2" t="s">
        <v>33</v>
      </c>
      <c r="B4" s="11">
        <v>4.8</v>
      </c>
      <c r="C4" s="2" t="s">
        <v>29</v>
      </c>
      <c r="D4" s="19" t="s">
        <v>34</v>
      </c>
      <c r="E4" s="18" t="s">
        <v>35</v>
      </c>
    </row>
  </sheetData>
  <hyperlinks>
    <hyperlink ref="D2" r:id="rId1" xr:uid="{00000000-0004-0000-0300-000000000000}"/>
    <hyperlink ref="D3" r:id="rId2" xr:uid="{00000000-0004-0000-03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zoomScale="110" zoomScaleNormal="110" workbookViewId="0">
      <selection activeCell="F7" sqref="F7"/>
    </sheetView>
  </sheetViews>
  <sheetFormatPr defaultColWidth="8.5546875" defaultRowHeight="14.4" x14ac:dyDescent="0.3"/>
  <cols>
    <col min="1" max="1" width="32.44140625" style="1" customWidth="1"/>
    <col min="2" max="2" width="8.88671875" style="1" customWidth="1"/>
    <col min="3" max="3" width="10" style="1" customWidth="1"/>
    <col min="4" max="4" width="19.5546875" style="1" customWidth="1"/>
    <col min="5" max="5" width="35.6640625" style="1" customWidth="1"/>
  </cols>
  <sheetData>
    <row r="1" spans="1:6" ht="16.5" customHeight="1" x14ac:dyDescent="0.3">
      <c r="B1" s="1" t="s">
        <v>36</v>
      </c>
      <c r="C1" s="1" t="s">
        <v>37</v>
      </c>
      <c r="D1" s="1" t="s">
        <v>38</v>
      </c>
      <c r="E1" s="1" t="s">
        <v>2</v>
      </c>
      <c r="F1" s="1" t="s">
        <v>3</v>
      </c>
    </row>
    <row r="2" spans="1:6" x14ac:dyDescent="0.3">
      <c r="A2" s="20" t="s">
        <v>39</v>
      </c>
      <c r="B2" s="2">
        <v>10138</v>
      </c>
      <c r="C2" s="2">
        <v>100</v>
      </c>
      <c r="D2" s="1">
        <v>0</v>
      </c>
      <c r="E2" s="3" t="s">
        <v>40</v>
      </c>
      <c r="F2" s="2" t="s">
        <v>41</v>
      </c>
    </row>
    <row r="3" spans="1:6" x14ac:dyDescent="0.3">
      <c r="A3" s="20" t="s">
        <v>42</v>
      </c>
      <c r="B3" s="2">
        <v>0</v>
      </c>
      <c r="C3" s="2">
        <v>0</v>
      </c>
      <c r="D3" s="2">
        <v>0</v>
      </c>
      <c r="E3" s="2"/>
    </row>
    <row r="4" spans="1:6" x14ac:dyDescent="0.3">
      <c r="A4" s="20" t="s">
        <v>43</v>
      </c>
      <c r="B4" s="2">
        <v>0</v>
      </c>
      <c r="C4" s="2">
        <v>0</v>
      </c>
      <c r="D4" s="2">
        <v>0</v>
      </c>
      <c r="E4" s="2"/>
    </row>
    <row r="5" spans="1:6" x14ac:dyDescent="0.3">
      <c r="A5" s="20" t="s">
        <v>44</v>
      </c>
      <c r="B5" s="2">
        <v>600</v>
      </c>
      <c r="C5" s="2">
        <v>0</v>
      </c>
      <c r="D5" s="2">
        <v>0</v>
      </c>
      <c r="F5" t="s">
        <v>150</v>
      </c>
    </row>
    <row r="6" spans="1:6" x14ac:dyDescent="0.3">
      <c r="A6" s="20" t="s">
        <v>45</v>
      </c>
      <c r="B6" s="2">
        <v>500</v>
      </c>
      <c r="C6" s="2">
        <v>100</v>
      </c>
      <c r="D6" s="2">
        <v>0</v>
      </c>
      <c r="E6" s="3" t="s">
        <v>40</v>
      </c>
      <c r="F6" s="18" t="s">
        <v>46</v>
      </c>
    </row>
    <row r="7" spans="1:6" x14ac:dyDescent="0.3">
      <c r="A7" s="20" t="s">
        <v>47</v>
      </c>
      <c r="B7" s="2">
        <v>0</v>
      </c>
      <c r="C7" s="2">
        <v>0</v>
      </c>
      <c r="D7" s="2">
        <v>0</v>
      </c>
      <c r="F7" s="18" t="s">
        <v>151</v>
      </c>
    </row>
    <row r="8" spans="1:6" x14ac:dyDescent="0.3">
      <c r="A8" s="20" t="s">
        <v>48</v>
      </c>
      <c r="B8" s="2">
        <v>600</v>
      </c>
      <c r="C8" s="2">
        <v>0</v>
      </c>
      <c r="D8" s="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7"/>
  <sheetViews>
    <sheetView zoomScale="110" zoomScaleNormal="110" workbookViewId="0">
      <selection activeCell="G16" sqref="G16"/>
    </sheetView>
  </sheetViews>
  <sheetFormatPr defaultColWidth="8.5546875" defaultRowHeight="14.4" x14ac:dyDescent="0.3"/>
  <cols>
    <col min="1" max="1" width="26.109375" style="1" customWidth="1"/>
    <col min="2" max="2" width="14.109375" style="1" customWidth="1"/>
    <col min="3" max="3" width="12.44140625" style="1" customWidth="1"/>
    <col min="4" max="4" width="13.88671875" style="1" customWidth="1"/>
    <col min="5" max="5" width="22.44140625" style="1" customWidth="1"/>
    <col min="6" max="6" width="18.5546875" style="1" customWidth="1"/>
    <col min="7" max="7" width="12.5546875" style="1" customWidth="1"/>
    <col min="8" max="8" width="15.44140625" style="1" customWidth="1"/>
    <col min="9" max="9" width="18.109375" style="1" customWidth="1"/>
    <col min="12" max="12" width="16.44140625" style="1" customWidth="1"/>
    <col min="13" max="13" width="9.5546875" style="1" customWidth="1"/>
    <col min="14" max="14" width="10.44140625" style="1" customWidth="1"/>
    <col min="15" max="15" width="23.44140625" style="1" customWidth="1"/>
  </cols>
  <sheetData>
    <row r="1" spans="1:25" ht="42" customHeight="1" x14ac:dyDescent="0.3">
      <c r="A1" s="21" t="s">
        <v>49</v>
      </c>
      <c r="B1" s="21" t="s">
        <v>50</v>
      </c>
      <c r="C1" s="21" t="s">
        <v>51</v>
      </c>
      <c r="D1" s="21" t="s">
        <v>52</v>
      </c>
      <c r="E1" s="21" t="s">
        <v>53</v>
      </c>
      <c r="F1" s="21" t="s">
        <v>54</v>
      </c>
      <c r="G1" s="22" t="s">
        <v>55</v>
      </c>
      <c r="H1" s="22" t="s">
        <v>56</v>
      </c>
      <c r="J1" s="21"/>
      <c r="K1" s="21"/>
    </row>
    <row r="2" spans="1:25" x14ac:dyDescent="0.3">
      <c r="A2" s="23" t="s">
        <v>57</v>
      </c>
      <c r="B2" s="23">
        <v>2018</v>
      </c>
      <c r="C2" s="24">
        <v>7.5414094383199997</v>
      </c>
      <c r="D2" s="25" t="s">
        <v>58</v>
      </c>
      <c r="E2" s="17" t="s">
        <v>30</v>
      </c>
      <c r="F2" s="26" t="s">
        <v>59</v>
      </c>
      <c r="G2" s="27">
        <f t="shared" ref="G2:G8" si="0">C2*$M$3/$M$4</f>
        <v>21.805545521741941</v>
      </c>
      <c r="H2" s="18" t="s">
        <v>60</v>
      </c>
      <c r="J2" s="21"/>
      <c r="K2" s="21"/>
      <c r="L2" s="21" t="s">
        <v>61</v>
      </c>
      <c r="M2" s="21" t="s">
        <v>62</v>
      </c>
      <c r="N2" s="21" t="s">
        <v>53</v>
      </c>
    </row>
    <row r="3" spans="1:25" x14ac:dyDescent="0.3">
      <c r="A3" s="23" t="s">
        <v>57</v>
      </c>
      <c r="B3" s="23">
        <v>2019</v>
      </c>
      <c r="C3" s="24">
        <v>4.8274540271299999</v>
      </c>
      <c r="D3" s="25" t="s">
        <v>58</v>
      </c>
      <c r="E3" s="17" t="s">
        <v>30</v>
      </c>
      <c r="F3" s="26" t="s">
        <v>59</v>
      </c>
      <c r="G3" s="27">
        <f t="shared" si="0"/>
        <v>13.958301747657082</v>
      </c>
      <c r="H3" s="18" t="s">
        <v>60</v>
      </c>
      <c r="J3" s="2"/>
      <c r="K3" s="2"/>
      <c r="L3" s="28" t="s">
        <v>63</v>
      </c>
      <c r="M3" s="29">
        <v>0.85</v>
      </c>
      <c r="N3" s="4" t="s">
        <v>64</v>
      </c>
      <c r="W3" s="21"/>
      <c r="Y3" s="3"/>
    </row>
    <row r="4" spans="1:25" x14ac:dyDescent="0.3">
      <c r="A4" s="23" t="s">
        <v>57</v>
      </c>
      <c r="B4" s="23">
        <v>2020</v>
      </c>
      <c r="C4" s="24">
        <v>3.31156694524004</v>
      </c>
      <c r="D4" s="25" t="s">
        <v>58</v>
      </c>
      <c r="E4" s="17" t="s">
        <v>30</v>
      </c>
      <c r="F4" s="26" t="s">
        <v>59</v>
      </c>
      <c r="G4" s="27">
        <f t="shared" si="0"/>
        <v>9.575202667793878</v>
      </c>
      <c r="H4" s="18" t="s">
        <v>60</v>
      </c>
      <c r="L4" s="28" t="s">
        <v>65</v>
      </c>
      <c r="M4" s="30">
        <v>0.29397099999999998</v>
      </c>
      <c r="N4" s="2"/>
      <c r="W4" s="21"/>
      <c r="Y4" s="22"/>
    </row>
    <row r="5" spans="1:25" x14ac:dyDescent="0.3">
      <c r="A5" s="23" t="s">
        <v>57</v>
      </c>
      <c r="B5" s="23">
        <v>2021</v>
      </c>
      <c r="C5" s="24">
        <v>14.731149861407699</v>
      </c>
      <c r="D5" s="25" t="s">
        <v>58</v>
      </c>
      <c r="E5" s="17" t="s">
        <v>30</v>
      </c>
      <c r="F5" s="26" t="s">
        <v>59</v>
      </c>
      <c r="G5" s="27">
        <f t="shared" si="0"/>
        <v>42.594260597802318</v>
      </c>
      <c r="H5" s="18" t="s">
        <v>60</v>
      </c>
      <c r="L5" s="28" t="s">
        <v>66</v>
      </c>
      <c r="M5" s="31">
        <f>1.622*10^-6</f>
        <v>1.6220000000000001E-6</v>
      </c>
      <c r="W5" s="21"/>
      <c r="Y5" s="32"/>
    </row>
    <row r="6" spans="1:25" ht="49.5" customHeight="1" x14ac:dyDescent="0.3">
      <c r="A6" s="23" t="s">
        <v>57</v>
      </c>
      <c r="B6" s="23">
        <v>2022</v>
      </c>
      <c r="C6" s="24">
        <v>34.346664233460999</v>
      </c>
      <c r="D6" s="25" t="s">
        <v>58</v>
      </c>
      <c r="E6" s="17" t="s">
        <v>30</v>
      </c>
      <c r="F6" s="26" t="s">
        <v>59</v>
      </c>
      <c r="G6" s="27">
        <f t="shared" si="0"/>
        <v>99.311376286918943</v>
      </c>
      <c r="H6" s="18" t="s">
        <v>60</v>
      </c>
      <c r="L6" s="33" t="s">
        <v>67</v>
      </c>
      <c r="M6" s="29">
        <v>6000</v>
      </c>
      <c r="N6" s="3" t="s">
        <v>30</v>
      </c>
      <c r="Y6" s="13"/>
    </row>
    <row r="7" spans="1:25" x14ac:dyDescent="0.3">
      <c r="A7" s="23" t="s">
        <v>57</v>
      </c>
      <c r="B7" s="23">
        <v>2023</v>
      </c>
      <c r="C7" s="24">
        <v>11.4929038091148</v>
      </c>
      <c r="D7" s="25" t="s">
        <v>58</v>
      </c>
      <c r="E7" s="17" t="s">
        <v>30</v>
      </c>
      <c r="F7" s="26" t="s">
        <v>59</v>
      </c>
      <c r="G7" s="27">
        <f t="shared" si="0"/>
        <v>33.231061015364034</v>
      </c>
      <c r="H7" s="18" t="s">
        <v>60</v>
      </c>
      <c r="L7" s="28" t="s">
        <v>68</v>
      </c>
      <c r="M7" s="29">
        <v>0.82</v>
      </c>
      <c r="N7" s="4" t="s">
        <v>64</v>
      </c>
      <c r="Y7" s="13"/>
    </row>
    <row r="8" spans="1:25" x14ac:dyDescent="0.3">
      <c r="A8" s="23" t="s">
        <v>57</v>
      </c>
      <c r="B8" s="23">
        <v>2024</v>
      </c>
      <c r="C8" s="24">
        <v>9.52416119251955</v>
      </c>
      <c r="D8" s="25" t="s">
        <v>58</v>
      </c>
      <c r="E8" s="17" t="s">
        <v>30</v>
      </c>
      <c r="F8" s="26" t="s">
        <v>59</v>
      </c>
      <c r="G8" s="27">
        <f t="shared" si="0"/>
        <v>27.538556570687646</v>
      </c>
      <c r="H8" s="18" t="s">
        <v>60</v>
      </c>
      <c r="L8" s="28" t="s">
        <v>69</v>
      </c>
      <c r="M8" s="29">
        <v>0.88</v>
      </c>
      <c r="N8" s="4" t="s">
        <v>64</v>
      </c>
      <c r="Y8" s="13"/>
    </row>
    <row r="9" spans="1:25" x14ac:dyDescent="0.3">
      <c r="A9" s="23" t="s">
        <v>70</v>
      </c>
      <c r="B9" s="23">
        <v>2018</v>
      </c>
      <c r="C9" s="24">
        <v>105.06823090515999</v>
      </c>
      <c r="D9" s="25" t="s">
        <v>71</v>
      </c>
      <c r="E9" s="17" t="s">
        <v>30</v>
      </c>
      <c r="F9" s="26" t="s">
        <v>72</v>
      </c>
      <c r="G9" s="27">
        <f t="shared" ref="G9:G15" si="1">C9*$M$3/$M$6/$M$5/1000</f>
        <v>9.1767361559171796</v>
      </c>
      <c r="H9" s="18" t="s">
        <v>60</v>
      </c>
      <c r="M9" s="34"/>
      <c r="Y9" s="13"/>
    </row>
    <row r="10" spans="1:25" x14ac:dyDescent="0.3">
      <c r="A10" s="23" t="s">
        <v>70</v>
      </c>
      <c r="B10" s="23">
        <v>2019</v>
      </c>
      <c r="C10" s="24">
        <v>78.292956708220004</v>
      </c>
      <c r="D10" s="25" t="s">
        <v>71</v>
      </c>
      <c r="E10" s="17" t="s">
        <v>30</v>
      </c>
      <c r="F10" s="26" t="s">
        <v>72</v>
      </c>
      <c r="G10" s="27">
        <f t="shared" si="1"/>
        <v>6.8381641185765512</v>
      </c>
      <c r="H10" s="18" t="s">
        <v>60</v>
      </c>
      <c r="M10" s="34"/>
      <c r="Y10" s="13"/>
    </row>
    <row r="11" spans="1:25" x14ac:dyDescent="0.3">
      <c r="A11" s="23" t="s">
        <v>70</v>
      </c>
      <c r="B11" s="23">
        <v>2020</v>
      </c>
      <c r="C11" s="24">
        <v>62.088866189989801</v>
      </c>
      <c r="D11" s="25" t="s">
        <v>71</v>
      </c>
      <c r="E11" s="17" t="s">
        <v>30</v>
      </c>
      <c r="F11" s="26" t="s">
        <v>72</v>
      </c>
      <c r="G11" s="27">
        <f t="shared" si="1"/>
        <v>5.4228869976871481</v>
      </c>
      <c r="H11" s="18" t="s">
        <v>60</v>
      </c>
      <c r="M11" s="34"/>
      <c r="Y11" s="13"/>
    </row>
    <row r="12" spans="1:25" x14ac:dyDescent="0.3">
      <c r="A12" s="23" t="s">
        <v>70</v>
      </c>
      <c r="B12" s="23">
        <v>2021</v>
      </c>
      <c r="C12" s="24">
        <v>126.188299817185</v>
      </c>
      <c r="D12" s="25" t="s">
        <v>71</v>
      </c>
      <c r="E12" s="17" t="s">
        <v>30</v>
      </c>
      <c r="F12" s="26" t="s">
        <v>72</v>
      </c>
      <c r="G12" s="27">
        <f t="shared" si="1"/>
        <v>11.021378426285166</v>
      </c>
      <c r="H12" s="18" t="s">
        <v>60</v>
      </c>
      <c r="M12" s="34"/>
      <c r="Y12" s="13"/>
    </row>
    <row r="13" spans="1:25" x14ac:dyDescent="0.3">
      <c r="A13" s="23" t="s">
        <v>70</v>
      </c>
      <c r="B13" s="23">
        <v>2022</v>
      </c>
      <c r="C13" s="24">
        <v>293.65119909180902</v>
      </c>
      <c r="D13" s="25" t="s">
        <v>71</v>
      </c>
      <c r="E13" s="17" t="s">
        <v>30</v>
      </c>
      <c r="F13" s="26" t="s">
        <v>72</v>
      </c>
      <c r="G13" s="27">
        <f t="shared" si="1"/>
        <v>25.64771056597181</v>
      </c>
      <c r="H13" s="18" t="s">
        <v>60</v>
      </c>
      <c r="M13" s="34"/>
      <c r="Y13" s="13"/>
    </row>
    <row r="14" spans="1:25" x14ac:dyDescent="0.3">
      <c r="A14" s="23" t="s">
        <v>70</v>
      </c>
      <c r="B14" s="23">
        <v>2023</v>
      </c>
      <c r="C14" s="24">
        <v>151.42784107508299</v>
      </c>
      <c r="D14" s="25" t="s">
        <v>71</v>
      </c>
      <c r="E14" s="17" t="s">
        <v>30</v>
      </c>
      <c r="F14" s="26" t="s">
        <v>72</v>
      </c>
      <c r="G14" s="27">
        <f t="shared" si="1"/>
        <v>13.22581842517679</v>
      </c>
      <c r="H14" s="18" t="s">
        <v>60</v>
      </c>
      <c r="M14" s="34"/>
      <c r="Y14" s="13"/>
    </row>
    <row r="15" spans="1:25" x14ac:dyDescent="0.3">
      <c r="A15" s="23" t="s">
        <v>70</v>
      </c>
      <c r="B15" s="23">
        <v>2024</v>
      </c>
      <c r="C15" s="24">
        <v>118.28554879814899</v>
      </c>
      <c r="D15" s="25" t="s">
        <v>71</v>
      </c>
      <c r="E15" s="17" t="s">
        <v>30</v>
      </c>
      <c r="F15" s="26" t="s">
        <v>72</v>
      </c>
      <c r="G15" s="27">
        <f t="shared" si="1"/>
        <v>10.331146370574048</v>
      </c>
      <c r="H15" s="18" t="s">
        <v>60</v>
      </c>
      <c r="M15" s="34"/>
      <c r="Y15" s="13"/>
    </row>
    <row r="16" spans="1:25" x14ac:dyDescent="0.3">
      <c r="A16" s="2" t="s">
        <v>73</v>
      </c>
      <c r="B16" s="23">
        <v>2021</v>
      </c>
      <c r="C16" s="24">
        <v>0.46</v>
      </c>
      <c r="D16" s="25" t="s">
        <v>74</v>
      </c>
      <c r="E16" s="17" t="s">
        <v>75</v>
      </c>
      <c r="G16" s="27">
        <f>C16*M7/100*1000</f>
        <v>3.7719999999999998</v>
      </c>
      <c r="H16" s="18" t="s">
        <v>60</v>
      </c>
      <c r="M16" s="34"/>
      <c r="Y16" s="22"/>
    </row>
    <row r="17" spans="1:25" x14ac:dyDescent="0.3">
      <c r="A17" s="2" t="s">
        <v>73</v>
      </c>
      <c r="B17" s="35" t="s">
        <v>76</v>
      </c>
      <c r="C17" s="24">
        <v>7</v>
      </c>
      <c r="D17" s="36" t="s">
        <v>77</v>
      </c>
      <c r="E17" s="17" t="s">
        <v>78</v>
      </c>
      <c r="G17" s="27">
        <f>C17*M7</f>
        <v>5.7399999999999993</v>
      </c>
      <c r="H17" s="18" t="s">
        <v>60</v>
      </c>
      <c r="M17" s="34"/>
      <c r="Y17" s="32"/>
    </row>
    <row r="18" spans="1:25" x14ac:dyDescent="0.3">
      <c r="A18" s="2" t="s">
        <v>73</v>
      </c>
      <c r="B18" s="23">
        <v>2021</v>
      </c>
      <c r="C18" s="24">
        <v>0.61</v>
      </c>
      <c r="D18" s="25" t="s">
        <v>74</v>
      </c>
      <c r="E18" s="17" t="s">
        <v>79</v>
      </c>
      <c r="G18" s="27">
        <f>C18*M7/100*1000</f>
        <v>5.0019999999999998</v>
      </c>
      <c r="H18" s="18" t="s">
        <v>60</v>
      </c>
      <c r="M18" s="34"/>
      <c r="Y18" s="27"/>
    </row>
    <row r="19" spans="1:25" x14ac:dyDescent="0.3">
      <c r="M19" s="34"/>
      <c r="Y19" s="27"/>
    </row>
    <row r="20" spans="1:25" x14ac:dyDescent="0.3">
      <c r="E20" s="17"/>
      <c r="Y20" s="27"/>
    </row>
    <row r="21" spans="1:25" x14ac:dyDescent="0.3">
      <c r="E21" s="37"/>
    </row>
    <row r="22" spans="1:25" x14ac:dyDescent="0.3">
      <c r="E22" s="38"/>
    </row>
    <row r="27" spans="1:25" x14ac:dyDescent="0.3">
      <c r="Q27" s="39"/>
      <c r="R27" s="27"/>
      <c r="S27" s="27"/>
    </row>
  </sheetData>
  <hyperlinks>
    <hyperlink ref="E2" r:id="rId1" xr:uid="{00000000-0004-0000-0500-000000000000}"/>
    <hyperlink ref="E3" r:id="rId2" xr:uid="{00000000-0004-0000-0500-000001000000}"/>
    <hyperlink ref="E4" r:id="rId3" xr:uid="{00000000-0004-0000-0500-000002000000}"/>
    <hyperlink ref="E5" r:id="rId4" xr:uid="{00000000-0004-0000-0500-000003000000}"/>
    <hyperlink ref="E6" r:id="rId5" xr:uid="{00000000-0004-0000-0500-000004000000}"/>
    <hyperlink ref="N6" r:id="rId6" xr:uid="{00000000-0004-0000-0500-000005000000}"/>
    <hyperlink ref="E7" r:id="rId7" xr:uid="{00000000-0004-0000-0500-000006000000}"/>
    <hyperlink ref="N7" r:id="rId8" xr:uid="{00000000-0004-0000-0500-000007000000}"/>
    <hyperlink ref="E8" r:id="rId9" xr:uid="{00000000-0004-0000-0500-000008000000}"/>
    <hyperlink ref="N8" r:id="rId10" xr:uid="{00000000-0004-0000-0500-000009000000}"/>
    <hyperlink ref="E9" r:id="rId11" xr:uid="{00000000-0004-0000-0500-00000A000000}"/>
    <hyperlink ref="E10" r:id="rId12" xr:uid="{00000000-0004-0000-0500-00000B000000}"/>
    <hyperlink ref="E11" r:id="rId13" xr:uid="{00000000-0004-0000-0500-00000C000000}"/>
    <hyperlink ref="E12" r:id="rId14" xr:uid="{00000000-0004-0000-0500-00000D000000}"/>
    <hyperlink ref="E13" r:id="rId15" xr:uid="{00000000-0004-0000-0500-00000E000000}"/>
    <hyperlink ref="E14" r:id="rId16" xr:uid="{00000000-0004-0000-0500-00000F000000}"/>
    <hyperlink ref="E15" r:id="rId17" xr:uid="{00000000-0004-0000-0500-000010000000}"/>
    <hyperlink ref="E16" r:id="rId18" xr:uid="{00000000-0004-0000-0500-000011000000}"/>
    <hyperlink ref="E17" r:id="rId19" xr:uid="{00000000-0004-0000-0500-000012000000}"/>
    <hyperlink ref="E18" r:id="rId20" xr:uid="{00000000-0004-0000-0500-000013000000}"/>
  </hyperlinks>
  <pageMargins left="0.7" right="0.7" top="0.75" bottom="0.75" header="0.511811023622047" footer="0.511811023622047"/>
  <pageSetup paperSize="9" orientation="portrait" horizontalDpi="300" verticalDpi="300"/>
  <legacy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1"/>
  <sheetViews>
    <sheetView topLeftCell="B31" zoomScale="110" zoomScaleNormal="110" workbookViewId="0">
      <selection activeCell="F40" sqref="F40"/>
    </sheetView>
  </sheetViews>
  <sheetFormatPr defaultColWidth="8.5546875" defaultRowHeight="14.4" x14ac:dyDescent="0.3"/>
  <cols>
    <col min="1" max="1" width="25.109375" style="1" bestFit="1" customWidth="1"/>
    <col min="2" max="2" width="23.44140625" style="1" customWidth="1"/>
    <col min="3" max="3" width="16" style="1" customWidth="1"/>
    <col min="4" max="4" width="14.44140625" style="1" customWidth="1"/>
    <col min="5" max="5" width="12.44140625" style="1" customWidth="1"/>
    <col min="6" max="6" width="12.5546875" style="1" customWidth="1"/>
    <col min="7" max="7" width="27.109375" style="1" customWidth="1"/>
    <col min="8" max="8" width="42.5546875" style="1" customWidth="1"/>
    <col min="9" max="9" width="13.44140625" style="1" customWidth="1"/>
    <col min="10" max="10" width="12.44140625" style="1" customWidth="1"/>
    <col min="16" max="16" width="12.44140625" style="1" customWidth="1"/>
    <col min="17" max="17" width="6.77734375" style="1" customWidth="1"/>
    <col min="18" max="18" width="12.44140625" style="1" customWidth="1"/>
  </cols>
  <sheetData>
    <row r="1" spans="1:18" ht="28.8" x14ac:dyDescent="0.3">
      <c r="A1" s="21" t="s">
        <v>49</v>
      </c>
      <c r="B1" s="21" t="s">
        <v>80</v>
      </c>
      <c r="C1" s="21" t="s">
        <v>50</v>
      </c>
      <c r="D1" s="21" t="s">
        <v>51</v>
      </c>
      <c r="E1" s="21" t="s">
        <v>52</v>
      </c>
      <c r="F1" s="21" t="s">
        <v>53</v>
      </c>
      <c r="G1" s="21" t="s">
        <v>81</v>
      </c>
      <c r="H1" s="21" t="s">
        <v>82</v>
      </c>
      <c r="I1" s="22" t="s">
        <v>55</v>
      </c>
      <c r="J1" s="22" t="s">
        <v>56</v>
      </c>
    </row>
    <row r="2" spans="1:18" x14ac:dyDescent="0.3">
      <c r="A2" s="2" t="s">
        <v>83</v>
      </c>
      <c r="B2" s="2" t="s">
        <v>84</v>
      </c>
      <c r="C2" s="2">
        <v>2020</v>
      </c>
      <c r="D2" s="11">
        <v>1333</v>
      </c>
      <c r="E2" s="36" t="s">
        <v>85</v>
      </c>
      <c r="F2" s="3" t="s">
        <v>6</v>
      </c>
      <c r="G2" s="37" t="s">
        <v>86</v>
      </c>
      <c r="H2" s="37"/>
      <c r="I2" s="11">
        <f>D2*$Q$3*10^3</f>
        <v>1173040</v>
      </c>
      <c r="J2" s="2" t="s">
        <v>87</v>
      </c>
      <c r="P2" s="21" t="s">
        <v>61</v>
      </c>
      <c r="Q2" s="21" t="s">
        <v>62</v>
      </c>
      <c r="R2" s="21" t="s">
        <v>53</v>
      </c>
    </row>
    <row r="3" spans="1:18" x14ac:dyDescent="0.3">
      <c r="A3" s="2" t="s">
        <v>83</v>
      </c>
      <c r="B3" s="2" t="s">
        <v>84</v>
      </c>
      <c r="C3" s="2">
        <v>2030</v>
      </c>
      <c r="D3" s="11">
        <v>754</v>
      </c>
      <c r="E3" s="36" t="s">
        <v>85</v>
      </c>
      <c r="F3" s="3" t="s">
        <v>6</v>
      </c>
      <c r="G3" s="37" t="s">
        <v>86</v>
      </c>
      <c r="H3" s="37"/>
      <c r="I3" s="11">
        <f>D3*$Q$3*10^3</f>
        <v>663520</v>
      </c>
      <c r="J3" s="2" t="s">
        <v>87</v>
      </c>
      <c r="P3" s="28" t="s">
        <v>69</v>
      </c>
      <c r="Q3" s="29">
        <v>0.88</v>
      </c>
      <c r="R3" s="4" t="s">
        <v>64</v>
      </c>
    </row>
    <row r="4" spans="1:18" ht="28.5" customHeight="1" x14ac:dyDescent="0.3">
      <c r="A4" s="40" t="s">
        <v>83</v>
      </c>
      <c r="B4" s="40" t="s">
        <v>88</v>
      </c>
      <c r="C4" s="40">
        <v>2025</v>
      </c>
      <c r="D4" s="41">
        <v>676.57029999999997</v>
      </c>
      <c r="E4" s="42" t="s">
        <v>85</v>
      </c>
      <c r="F4" s="43" t="s">
        <v>15</v>
      </c>
      <c r="G4" s="44" t="s">
        <v>89</v>
      </c>
      <c r="H4" s="44" t="s">
        <v>90</v>
      </c>
      <c r="I4" s="45">
        <f>D4*10^3</f>
        <v>676570.29999999993</v>
      </c>
      <c r="J4" s="40" t="s">
        <v>87</v>
      </c>
      <c r="P4" s="28" t="s">
        <v>91</v>
      </c>
      <c r="Q4" s="29">
        <v>1.06</v>
      </c>
      <c r="R4" s="4" t="s">
        <v>64</v>
      </c>
    </row>
    <row r="5" spans="1:18" ht="28.8" x14ac:dyDescent="0.3">
      <c r="A5" s="2" t="s">
        <v>83</v>
      </c>
      <c r="B5" s="2" t="s">
        <v>92</v>
      </c>
      <c r="C5" s="2">
        <v>2025</v>
      </c>
      <c r="D5" s="11">
        <v>473.11559999999997</v>
      </c>
      <c r="E5" s="36" t="s">
        <v>85</v>
      </c>
      <c r="F5" s="3" t="s">
        <v>15</v>
      </c>
      <c r="G5" s="44" t="s">
        <v>89</v>
      </c>
      <c r="H5" s="37"/>
      <c r="I5" s="11">
        <f>D5*10^3</f>
        <v>473115.6</v>
      </c>
      <c r="J5" s="2" t="s">
        <v>87</v>
      </c>
      <c r="P5" s="28" t="s">
        <v>93</v>
      </c>
      <c r="Q5" s="29">
        <v>1.1399999999999999</v>
      </c>
      <c r="R5" s="4" t="s">
        <v>64</v>
      </c>
    </row>
    <row r="6" spans="1:18" x14ac:dyDescent="0.3">
      <c r="A6" s="2" t="s">
        <v>94</v>
      </c>
      <c r="B6" s="2" t="s">
        <v>95</v>
      </c>
      <c r="C6" s="2">
        <v>2020</v>
      </c>
      <c r="D6" s="11">
        <v>1462</v>
      </c>
      <c r="E6" s="36" t="s">
        <v>85</v>
      </c>
      <c r="F6" s="3" t="s">
        <v>6</v>
      </c>
      <c r="G6" s="37" t="s">
        <v>86</v>
      </c>
      <c r="H6" s="37"/>
      <c r="I6" s="11">
        <f>D6*$Q$3*10^3</f>
        <v>1286560</v>
      </c>
      <c r="J6" s="2" t="s">
        <v>87</v>
      </c>
      <c r="P6" s="28" t="s">
        <v>96</v>
      </c>
      <c r="Q6" s="29">
        <v>0.82</v>
      </c>
      <c r="R6" s="4" t="s">
        <v>64</v>
      </c>
    </row>
    <row r="7" spans="1:18" x14ac:dyDescent="0.3">
      <c r="A7" s="2" t="s">
        <v>94</v>
      </c>
      <c r="B7" s="2" t="s">
        <v>95</v>
      </c>
      <c r="C7" s="2">
        <v>2030</v>
      </c>
      <c r="D7" s="11">
        <v>956</v>
      </c>
      <c r="E7" s="36" t="s">
        <v>85</v>
      </c>
      <c r="F7" s="3" t="s">
        <v>6</v>
      </c>
      <c r="G7" s="37" t="s">
        <v>86</v>
      </c>
      <c r="H7" s="37"/>
      <c r="I7" s="11">
        <f>D7*$Q$3*10^3</f>
        <v>841280</v>
      </c>
      <c r="J7" s="2" t="s">
        <v>87</v>
      </c>
      <c r="P7" s="28" t="s">
        <v>97</v>
      </c>
      <c r="Q7" s="29">
        <v>1.02</v>
      </c>
      <c r="R7" s="4" t="s">
        <v>64</v>
      </c>
    </row>
    <row r="8" spans="1:18" ht="23.1" customHeight="1" x14ac:dyDescent="0.3">
      <c r="A8" s="40" t="s">
        <v>94</v>
      </c>
      <c r="B8" s="40" t="s">
        <v>95</v>
      </c>
      <c r="C8" s="40">
        <v>2025</v>
      </c>
      <c r="D8" s="45">
        <v>1139.8825999999999</v>
      </c>
      <c r="E8" s="42" t="s">
        <v>98</v>
      </c>
      <c r="F8" s="43" t="s">
        <v>15</v>
      </c>
      <c r="G8" s="44" t="s">
        <v>89</v>
      </c>
      <c r="H8" s="46"/>
      <c r="I8" s="45">
        <f>D8*$Q$4*10^3</f>
        <v>1208275.5560000001</v>
      </c>
      <c r="J8" s="40" t="s">
        <v>87</v>
      </c>
      <c r="P8" s="28" t="s">
        <v>99</v>
      </c>
      <c r="Q8" s="30">
        <f>1/1.145</f>
        <v>0.8733624454148472</v>
      </c>
      <c r="R8" s="4" t="s">
        <v>100</v>
      </c>
    </row>
    <row r="9" spans="1:18" x14ac:dyDescent="0.3">
      <c r="A9" s="2" t="s">
        <v>94</v>
      </c>
      <c r="B9" s="2" t="s">
        <v>101</v>
      </c>
      <c r="C9" s="2">
        <v>2020</v>
      </c>
      <c r="D9" s="11">
        <v>3739</v>
      </c>
      <c r="E9" s="36" t="s">
        <v>85</v>
      </c>
      <c r="F9" s="3" t="s">
        <v>6</v>
      </c>
      <c r="G9" s="37" t="s">
        <v>86</v>
      </c>
      <c r="H9" s="37"/>
      <c r="I9" s="11">
        <f>D9*$Q$3*10^3</f>
        <v>3290320</v>
      </c>
      <c r="J9" s="2" t="s">
        <v>87</v>
      </c>
      <c r="P9" s="28" t="s">
        <v>102</v>
      </c>
      <c r="Q9" s="5">
        <f>1/1.0541</f>
        <v>0.94867659614837296</v>
      </c>
      <c r="R9" s="4" t="s">
        <v>100</v>
      </c>
    </row>
    <row r="10" spans="1:18" x14ac:dyDescent="0.3">
      <c r="A10" s="2" t="s">
        <v>94</v>
      </c>
      <c r="B10" s="2" t="s">
        <v>101</v>
      </c>
      <c r="C10" s="2">
        <v>2030</v>
      </c>
      <c r="D10" s="11">
        <v>2758</v>
      </c>
      <c r="E10" s="36" t="s">
        <v>85</v>
      </c>
      <c r="F10" s="3" t="s">
        <v>6</v>
      </c>
      <c r="G10" s="37" t="s">
        <v>86</v>
      </c>
      <c r="H10" s="37"/>
      <c r="I10" s="11">
        <f>D10*$Q$3*10^3</f>
        <v>2427040</v>
      </c>
      <c r="J10" s="2" t="s">
        <v>87</v>
      </c>
      <c r="P10" s="28" t="s">
        <v>103</v>
      </c>
      <c r="Q10" s="1">
        <v>1.06</v>
      </c>
      <c r="R10" s="4" t="s">
        <v>64</v>
      </c>
    </row>
    <row r="11" spans="1:18" ht="28.8" x14ac:dyDescent="0.3">
      <c r="A11" s="14" t="s">
        <v>94</v>
      </c>
      <c r="B11" s="14" t="s">
        <v>101</v>
      </c>
      <c r="C11" s="14">
        <v>2025</v>
      </c>
      <c r="D11" s="47">
        <v>1769.1170999999999</v>
      </c>
      <c r="E11" s="36" t="s">
        <v>85</v>
      </c>
      <c r="F11" s="48" t="s">
        <v>15</v>
      </c>
      <c r="G11" s="49" t="s">
        <v>89</v>
      </c>
      <c r="H11" s="50"/>
      <c r="I11" s="11">
        <f>D11*10^3</f>
        <v>1769117.0999999999</v>
      </c>
      <c r="J11" s="2" t="s">
        <v>87</v>
      </c>
    </row>
    <row r="12" spans="1:18" x14ac:dyDescent="0.3">
      <c r="A12" s="2" t="s">
        <v>94</v>
      </c>
      <c r="B12" s="2" t="s">
        <v>104</v>
      </c>
      <c r="C12" s="2">
        <v>2020</v>
      </c>
      <c r="D12" s="11">
        <v>4049</v>
      </c>
      <c r="E12" s="36" t="s">
        <v>85</v>
      </c>
      <c r="F12" s="3" t="s">
        <v>6</v>
      </c>
      <c r="G12" s="37" t="s">
        <v>86</v>
      </c>
      <c r="H12" s="37"/>
      <c r="I12" s="11">
        <f t="shared" ref="I12:I17" si="0">D12*$Q$3*10^3</f>
        <v>3563120</v>
      </c>
      <c r="J12" s="2" t="s">
        <v>87</v>
      </c>
    </row>
    <row r="13" spans="1:18" x14ac:dyDescent="0.3">
      <c r="A13" s="2" t="s">
        <v>94</v>
      </c>
      <c r="B13" s="2" t="s">
        <v>104</v>
      </c>
      <c r="C13" s="2">
        <v>2030</v>
      </c>
      <c r="D13" s="11">
        <v>3467</v>
      </c>
      <c r="E13" s="36" t="s">
        <v>85</v>
      </c>
      <c r="F13" s="3" t="s">
        <v>6</v>
      </c>
      <c r="G13" s="37" t="s">
        <v>86</v>
      </c>
      <c r="H13" s="37"/>
      <c r="I13" s="11">
        <f t="shared" si="0"/>
        <v>3050960</v>
      </c>
      <c r="J13" s="2" t="s">
        <v>87</v>
      </c>
    </row>
    <row r="14" spans="1:18" x14ac:dyDescent="0.3">
      <c r="A14" s="2" t="s">
        <v>105</v>
      </c>
      <c r="B14" s="2" t="s">
        <v>106</v>
      </c>
      <c r="C14" s="2">
        <v>2035</v>
      </c>
      <c r="D14" s="11">
        <v>6160</v>
      </c>
      <c r="E14" s="36" t="s">
        <v>85</v>
      </c>
      <c r="F14" s="3" t="s">
        <v>6</v>
      </c>
      <c r="G14" s="37" t="s">
        <v>86</v>
      </c>
      <c r="H14" s="51" t="s">
        <v>107</v>
      </c>
      <c r="I14" s="11">
        <f t="shared" si="0"/>
        <v>5420800</v>
      </c>
      <c r="J14" s="2" t="s">
        <v>87</v>
      </c>
    </row>
    <row r="15" spans="1:18" x14ac:dyDescent="0.3">
      <c r="A15" s="2" t="s">
        <v>105</v>
      </c>
      <c r="B15" s="2" t="s">
        <v>106</v>
      </c>
      <c r="C15" s="2">
        <v>2050</v>
      </c>
      <c r="D15" s="11">
        <v>5500</v>
      </c>
      <c r="E15" s="36" t="s">
        <v>85</v>
      </c>
      <c r="F15" s="3" t="s">
        <v>6</v>
      </c>
      <c r="G15" s="37" t="s">
        <v>86</v>
      </c>
      <c r="H15" s="51" t="s">
        <v>107</v>
      </c>
      <c r="I15" s="11">
        <f t="shared" si="0"/>
        <v>4840000</v>
      </c>
      <c r="J15" s="2" t="s">
        <v>87</v>
      </c>
    </row>
    <row r="16" spans="1:18" x14ac:dyDescent="0.3">
      <c r="A16" s="2" t="s">
        <v>105</v>
      </c>
      <c r="B16" s="2" t="s">
        <v>108</v>
      </c>
      <c r="C16" s="2">
        <v>2035</v>
      </c>
      <c r="D16" s="11">
        <v>6820</v>
      </c>
      <c r="E16" s="36" t="s">
        <v>85</v>
      </c>
      <c r="F16" s="3" t="s">
        <v>6</v>
      </c>
      <c r="G16" s="37" t="s">
        <v>86</v>
      </c>
      <c r="H16" s="51" t="s">
        <v>107</v>
      </c>
      <c r="I16" s="11">
        <f t="shared" si="0"/>
        <v>6001600</v>
      </c>
      <c r="J16" s="2" t="s">
        <v>87</v>
      </c>
    </row>
    <row r="17" spans="1:20" x14ac:dyDescent="0.3">
      <c r="A17" s="2" t="s">
        <v>105</v>
      </c>
      <c r="B17" s="2" t="s">
        <v>108</v>
      </c>
      <c r="C17" s="2">
        <v>2050</v>
      </c>
      <c r="D17" s="11">
        <v>6050</v>
      </c>
      <c r="E17" s="36" t="s">
        <v>85</v>
      </c>
      <c r="F17" s="3" t="s">
        <v>6</v>
      </c>
      <c r="G17" s="37" t="s">
        <v>86</v>
      </c>
      <c r="H17" s="51" t="s">
        <v>107</v>
      </c>
      <c r="I17" s="11">
        <f t="shared" si="0"/>
        <v>5324000</v>
      </c>
      <c r="J17" s="2" t="s">
        <v>87</v>
      </c>
    </row>
    <row r="18" spans="1:20" ht="28.8" x14ac:dyDescent="0.3">
      <c r="A18" s="40" t="s">
        <v>109</v>
      </c>
      <c r="B18" s="40"/>
      <c r="C18" s="40">
        <v>2025</v>
      </c>
      <c r="D18" s="45">
        <v>2274.8177000000001</v>
      </c>
      <c r="E18" s="42" t="s">
        <v>110</v>
      </c>
      <c r="F18" s="43" t="s">
        <v>15</v>
      </c>
      <c r="G18" s="44" t="s">
        <v>89</v>
      </c>
      <c r="H18" s="52"/>
      <c r="I18" s="45">
        <f>D18*$Q$5*10^3</f>
        <v>2593292.1779999998</v>
      </c>
      <c r="J18" s="40" t="s">
        <v>87</v>
      </c>
    </row>
    <row r="19" spans="1:20" ht="28.8" x14ac:dyDescent="0.3">
      <c r="A19" s="40" t="s">
        <v>111</v>
      </c>
      <c r="B19" s="40"/>
      <c r="C19" s="40">
        <v>2025</v>
      </c>
      <c r="D19" s="45">
        <v>57074.0625</v>
      </c>
      <c r="E19" s="42" t="s">
        <v>112</v>
      </c>
      <c r="F19" s="43" t="s">
        <v>15</v>
      </c>
      <c r="G19" s="44" t="s">
        <v>89</v>
      </c>
      <c r="H19" s="52"/>
      <c r="I19" s="45">
        <f>D19*$Q$4</f>
        <v>60498.506250000006</v>
      </c>
      <c r="J19" s="40" t="s">
        <v>60</v>
      </c>
    </row>
    <row r="20" spans="1:20" x14ac:dyDescent="0.3">
      <c r="A20" s="2" t="s">
        <v>113</v>
      </c>
      <c r="B20" s="2" t="s">
        <v>114</v>
      </c>
      <c r="C20" s="2">
        <v>2020</v>
      </c>
      <c r="D20" s="11">
        <v>3075</v>
      </c>
      <c r="E20" s="36" t="s">
        <v>85</v>
      </c>
      <c r="F20" s="3" t="s">
        <v>6</v>
      </c>
      <c r="G20" s="37" t="s">
        <v>86</v>
      </c>
      <c r="H20" s="51"/>
      <c r="I20" s="11">
        <f>D20*$Q$3*10^3</f>
        <v>2706000</v>
      </c>
      <c r="J20" s="2" t="s">
        <v>87</v>
      </c>
    </row>
    <row r="21" spans="1:20" x14ac:dyDescent="0.3">
      <c r="A21" s="2" t="s">
        <v>113</v>
      </c>
      <c r="B21" s="2" t="s">
        <v>114</v>
      </c>
      <c r="C21" s="2">
        <v>2030</v>
      </c>
      <c r="D21" s="11">
        <v>2240</v>
      </c>
      <c r="E21" s="36" t="s">
        <v>85</v>
      </c>
      <c r="F21" s="3" t="s">
        <v>6</v>
      </c>
      <c r="G21" s="37" t="s">
        <v>86</v>
      </c>
      <c r="H21" s="51"/>
      <c r="I21" s="11">
        <f>D21*$Q$3*10^3</f>
        <v>1971200</v>
      </c>
      <c r="J21" s="2" t="s">
        <v>87</v>
      </c>
    </row>
    <row r="22" spans="1:20" ht="28.8" x14ac:dyDescent="0.3">
      <c r="A22" s="40" t="s">
        <v>113</v>
      </c>
      <c r="B22" s="40"/>
      <c r="C22" s="40">
        <v>2025</v>
      </c>
      <c r="D22" s="45">
        <v>1989.7080000000001</v>
      </c>
      <c r="E22" s="42" t="s">
        <v>115</v>
      </c>
      <c r="F22" s="43" t="s">
        <v>15</v>
      </c>
      <c r="G22" s="44" t="s">
        <v>89</v>
      </c>
      <c r="H22" s="52"/>
      <c r="I22" s="45">
        <f>D22*$Q$4*10^3</f>
        <v>2109090.4800000004</v>
      </c>
      <c r="J22" s="40" t="s">
        <v>87</v>
      </c>
    </row>
    <row r="23" spans="1:20" x14ac:dyDescent="0.3">
      <c r="A23" s="2" t="s">
        <v>116</v>
      </c>
      <c r="B23" s="2" t="s">
        <v>117</v>
      </c>
      <c r="C23" s="2">
        <v>2020</v>
      </c>
      <c r="D23" s="11">
        <v>1038</v>
      </c>
      <c r="E23" s="36" t="s">
        <v>85</v>
      </c>
      <c r="F23" s="3" t="s">
        <v>6</v>
      </c>
      <c r="G23" s="37" t="s">
        <v>86</v>
      </c>
      <c r="H23" s="51"/>
      <c r="I23" s="11">
        <f>D23*$Q$3*10^3</f>
        <v>913440</v>
      </c>
      <c r="J23" s="2" t="s">
        <v>87</v>
      </c>
    </row>
    <row r="24" spans="1:20" x14ac:dyDescent="0.3">
      <c r="A24" s="2" t="s">
        <v>116</v>
      </c>
      <c r="B24" s="2" t="s">
        <v>117</v>
      </c>
      <c r="C24" s="2">
        <v>2030</v>
      </c>
      <c r="D24" s="11">
        <v>838</v>
      </c>
      <c r="E24" s="36" t="s">
        <v>85</v>
      </c>
      <c r="F24" s="3" t="s">
        <v>6</v>
      </c>
      <c r="G24" s="37" t="s">
        <v>86</v>
      </c>
      <c r="H24" s="51"/>
      <c r="I24" s="11">
        <f>D24*$Q$3*10^3</f>
        <v>737440</v>
      </c>
      <c r="J24" s="2" t="s">
        <v>87</v>
      </c>
    </row>
    <row r="25" spans="1:20" ht="28.8" x14ac:dyDescent="0.3">
      <c r="A25" s="40" t="s">
        <v>116</v>
      </c>
      <c r="B25" s="40" t="s">
        <v>118</v>
      </c>
      <c r="C25" s="40">
        <v>2025</v>
      </c>
      <c r="D25" s="45">
        <v>608.47739999999999</v>
      </c>
      <c r="E25" s="42" t="s">
        <v>115</v>
      </c>
      <c r="F25" s="43" t="s">
        <v>15</v>
      </c>
      <c r="G25" s="44" t="s">
        <v>89</v>
      </c>
      <c r="H25" s="52"/>
      <c r="I25" s="45">
        <f>D25*$Q$4*10^3</f>
        <v>644986.04399999999</v>
      </c>
      <c r="J25" s="40" t="s">
        <v>87</v>
      </c>
    </row>
    <row r="26" spans="1:20" ht="57.6" x14ac:dyDescent="0.3">
      <c r="A26" s="53" t="s">
        <v>105</v>
      </c>
      <c r="B26" s="53" t="s">
        <v>119</v>
      </c>
      <c r="C26" s="53">
        <v>2025</v>
      </c>
      <c r="D26" s="54">
        <v>5350</v>
      </c>
      <c r="E26" s="55" t="s">
        <v>120</v>
      </c>
      <c r="F26" s="56" t="s">
        <v>121</v>
      </c>
      <c r="G26" s="57" t="s">
        <v>122</v>
      </c>
      <c r="H26" s="58" t="s">
        <v>123</v>
      </c>
      <c r="I26" s="54">
        <f>D26*$Q$3*10^3*0.67</f>
        <v>3154360</v>
      </c>
      <c r="J26" s="53" t="s">
        <v>87</v>
      </c>
    </row>
    <row r="27" spans="1:20" ht="72" x14ac:dyDescent="0.3">
      <c r="A27" s="2" t="s">
        <v>124</v>
      </c>
      <c r="B27" s="2" t="s">
        <v>125</v>
      </c>
      <c r="C27" s="2">
        <v>2020</v>
      </c>
      <c r="D27" s="59">
        <v>988.32170015695601</v>
      </c>
      <c r="E27" s="36" t="s">
        <v>85</v>
      </c>
      <c r="F27" s="3" t="s">
        <v>6</v>
      </c>
      <c r="G27" s="37" t="s">
        <v>86</v>
      </c>
      <c r="H27" s="37" t="s">
        <v>126</v>
      </c>
      <c r="I27" s="11">
        <f t="shared" ref="I27:I32" si="1">D27*$Q$3*10^3</f>
        <v>869723.09613812121</v>
      </c>
      <c r="J27" s="2" t="s">
        <v>87</v>
      </c>
      <c r="R27" s="21"/>
      <c r="S27" s="3"/>
      <c r="T27" s="3"/>
    </row>
    <row r="28" spans="1:20" ht="72" x14ac:dyDescent="0.3">
      <c r="A28" s="2" t="s">
        <v>124</v>
      </c>
      <c r="B28" s="2" t="s">
        <v>125</v>
      </c>
      <c r="C28" s="2">
        <v>2030</v>
      </c>
      <c r="D28" s="59">
        <v>681.62247956991303</v>
      </c>
      <c r="E28" s="36" t="s">
        <v>85</v>
      </c>
      <c r="F28" s="3" t="s">
        <v>6</v>
      </c>
      <c r="G28" s="37" t="s">
        <v>86</v>
      </c>
      <c r="H28" s="37" t="s">
        <v>126</v>
      </c>
      <c r="I28" s="11">
        <f t="shared" si="1"/>
        <v>599827.78202152345</v>
      </c>
      <c r="J28" s="2" t="s">
        <v>87</v>
      </c>
      <c r="R28" s="21"/>
      <c r="S28" s="22"/>
      <c r="T28" s="22"/>
    </row>
    <row r="29" spans="1:20" ht="72" x14ac:dyDescent="0.3">
      <c r="A29" s="2" t="s">
        <v>124</v>
      </c>
      <c r="B29" s="2" t="s">
        <v>125</v>
      </c>
      <c r="C29" s="2">
        <v>2050</v>
      </c>
      <c r="D29" s="60">
        <v>681.62247956991303</v>
      </c>
      <c r="E29" s="36" t="s">
        <v>85</v>
      </c>
      <c r="F29" s="3" t="s">
        <v>6</v>
      </c>
      <c r="G29" s="37" t="s">
        <v>86</v>
      </c>
      <c r="H29" s="37" t="s">
        <v>126</v>
      </c>
      <c r="I29" s="11">
        <f t="shared" si="1"/>
        <v>599827.78202152345</v>
      </c>
      <c r="J29" s="2" t="s">
        <v>87</v>
      </c>
      <c r="R29" s="21"/>
      <c r="S29" s="32"/>
      <c r="T29" s="32"/>
    </row>
    <row r="30" spans="1:20" ht="72" x14ac:dyDescent="0.3">
      <c r="A30" s="2" t="s">
        <v>124</v>
      </c>
      <c r="B30" s="2" t="s">
        <v>127</v>
      </c>
      <c r="C30" s="2">
        <v>2020</v>
      </c>
      <c r="D30" s="59">
        <v>1727.23444480956</v>
      </c>
      <c r="E30" s="36" t="s">
        <v>85</v>
      </c>
      <c r="F30" s="3" t="s">
        <v>6</v>
      </c>
      <c r="G30" s="37" t="s">
        <v>86</v>
      </c>
      <c r="H30" s="37" t="s">
        <v>128</v>
      </c>
      <c r="I30" s="11">
        <f t="shared" si="1"/>
        <v>1519966.3114324128</v>
      </c>
      <c r="J30" s="2" t="s">
        <v>87</v>
      </c>
      <c r="S30" s="27"/>
      <c r="T30" s="13"/>
    </row>
    <row r="31" spans="1:20" ht="72" x14ac:dyDescent="0.3">
      <c r="A31" s="2" t="s">
        <v>124</v>
      </c>
      <c r="B31" s="2" t="s">
        <v>127</v>
      </c>
      <c r="C31" s="2">
        <v>2030</v>
      </c>
      <c r="D31" s="59">
        <v>1173.7257628388099</v>
      </c>
      <c r="E31" s="36" t="s">
        <v>85</v>
      </c>
      <c r="F31" s="3" t="s">
        <v>6</v>
      </c>
      <c r="G31" s="37" t="s">
        <v>86</v>
      </c>
      <c r="H31" s="37" t="s">
        <v>128</v>
      </c>
      <c r="I31" s="11">
        <f t="shared" si="1"/>
        <v>1032878.6712981528</v>
      </c>
      <c r="J31" s="2" t="s">
        <v>87</v>
      </c>
      <c r="S31" s="27"/>
      <c r="T31" s="13"/>
    </row>
    <row r="32" spans="1:20" ht="72" x14ac:dyDescent="0.3">
      <c r="A32" s="2" t="s">
        <v>124</v>
      </c>
      <c r="B32" s="2" t="s">
        <v>127</v>
      </c>
      <c r="C32" s="2">
        <v>2050</v>
      </c>
      <c r="D32" s="60">
        <v>1173.7257628388099</v>
      </c>
      <c r="E32" s="36" t="s">
        <v>85</v>
      </c>
      <c r="F32" s="3" t="s">
        <v>6</v>
      </c>
      <c r="G32" s="37" t="s">
        <v>86</v>
      </c>
      <c r="H32" s="37" t="s">
        <v>128</v>
      </c>
      <c r="I32" s="11">
        <f t="shared" si="1"/>
        <v>1032878.6712981528</v>
      </c>
      <c r="J32" s="2" t="s">
        <v>87</v>
      </c>
    </row>
    <row r="33" spans="1:10" ht="28.8" x14ac:dyDescent="0.3">
      <c r="A33" s="40" t="s">
        <v>124</v>
      </c>
      <c r="B33" s="40" t="s">
        <v>129</v>
      </c>
      <c r="C33" s="40">
        <v>2025</v>
      </c>
      <c r="D33" s="61">
        <f>197.8874*2</f>
        <v>395.77480000000003</v>
      </c>
      <c r="E33" s="42" t="s">
        <v>115</v>
      </c>
      <c r="F33" s="43" t="s">
        <v>15</v>
      </c>
      <c r="G33" s="44" t="s">
        <v>89</v>
      </c>
      <c r="H33" s="62" t="s">
        <v>130</v>
      </c>
      <c r="I33" s="45">
        <f>D33*$Q$4*10^3</f>
        <v>419521.288</v>
      </c>
      <c r="J33" s="40" t="s">
        <v>87</v>
      </c>
    </row>
    <row r="34" spans="1:10" ht="28.8" x14ac:dyDescent="0.3">
      <c r="A34" s="40" t="s">
        <v>124</v>
      </c>
      <c r="B34" s="40" t="s">
        <v>131</v>
      </c>
      <c r="C34" s="40">
        <v>2025</v>
      </c>
      <c r="D34" s="45">
        <f>280.1877*2</f>
        <v>560.37540000000001</v>
      </c>
      <c r="E34" s="42" t="s">
        <v>115</v>
      </c>
      <c r="F34" s="43" t="s">
        <v>15</v>
      </c>
      <c r="G34" s="44" t="s">
        <v>89</v>
      </c>
      <c r="H34" s="62" t="s">
        <v>130</v>
      </c>
      <c r="I34" s="45">
        <f>D34*$Q$4*10^3</f>
        <v>593997.924</v>
      </c>
      <c r="J34" s="40" t="s">
        <v>87</v>
      </c>
    </row>
    <row r="35" spans="1:10" x14ac:dyDescent="0.3">
      <c r="A35" s="2" t="s">
        <v>105</v>
      </c>
      <c r="B35" s="2" t="s">
        <v>119</v>
      </c>
      <c r="C35" s="2">
        <v>2020</v>
      </c>
      <c r="D35" s="11">
        <v>4013</v>
      </c>
      <c r="E35" s="36" t="s">
        <v>132</v>
      </c>
      <c r="F35" s="3" t="s">
        <v>121</v>
      </c>
      <c r="G35" s="2" t="s">
        <v>133</v>
      </c>
      <c r="H35" s="2"/>
      <c r="I35" s="11">
        <f>D35*Q8*Q7</f>
        <v>3574.8995633187774</v>
      </c>
      <c r="J35" s="53" t="s">
        <v>87</v>
      </c>
    </row>
    <row r="36" spans="1:10" x14ac:dyDescent="0.3">
      <c r="A36" s="2" t="s">
        <v>105</v>
      </c>
      <c r="B36" s="2" t="s">
        <v>119</v>
      </c>
      <c r="C36" s="2">
        <v>2024</v>
      </c>
      <c r="D36" s="11">
        <v>10000</v>
      </c>
      <c r="E36" s="36" t="s">
        <v>134</v>
      </c>
      <c r="F36" s="3" t="s">
        <v>135</v>
      </c>
      <c r="G36" s="2" t="s">
        <v>136</v>
      </c>
      <c r="H36" s="2"/>
      <c r="I36" s="2">
        <f>D36*Q6</f>
        <v>8200</v>
      </c>
      <c r="J36" s="53" t="s">
        <v>87</v>
      </c>
    </row>
    <row r="37" spans="1:10" x14ac:dyDescent="0.3">
      <c r="A37" s="2" t="s">
        <v>105</v>
      </c>
      <c r="B37" s="2"/>
      <c r="C37">
        <v>2020</v>
      </c>
      <c r="D37">
        <v>6600</v>
      </c>
      <c r="E37" t="s">
        <v>137</v>
      </c>
      <c r="F37" s="3" t="s">
        <v>23</v>
      </c>
      <c r="G37" s="63" t="s">
        <v>138</v>
      </c>
      <c r="H37"/>
      <c r="I37" s="64">
        <f>D37*Q10*Q9</f>
        <v>6636.9414666540169</v>
      </c>
      <c r="J37" s="53" t="s">
        <v>87</v>
      </c>
    </row>
    <row r="38" spans="1:10" x14ac:dyDescent="0.3">
      <c r="A38" s="66" t="s">
        <v>153</v>
      </c>
      <c r="B38" s="2" t="s">
        <v>152</v>
      </c>
      <c r="C38" s="2">
        <v>2030</v>
      </c>
      <c r="D38" s="45">
        <v>2000000</v>
      </c>
      <c r="E38" s="42" t="s">
        <v>156</v>
      </c>
      <c r="F38" s="67" t="s">
        <v>155</v>
      </c>
      <c r="G38" s="44"/>
      <c r="H38" s="62"/>
      <c r="I38" s="45">
        <f>D38*1.11</f>
        <v>2220000</v>
      </c>
      <c r="J38" s="53" t="s">
        <v>158</v>
      </c>
    </row>
    <row r="39" spans="1:10" x14ac:dyDescent="0.3">
      <c r="A39" s="66" t="s">
        <v>154</v>
      </c>
      <c r="B39" s="2" t="s">
        <v>152</v>
      </c>
      <c r="C39" s="2">
        <v>2030</v>
      </c>
      <c r="D39" s="15">
        <v>450000</v>
      </c>
      <c r="E39" s="36" t="s">
        <v>157</v>
      </c>
      <c r="F39" s="67" t="s">
        <v>155</v>
      </c>
      <c r="G39" s="2"/>
      <c r="H39" s="2"/>
      <c r="I39" s="45">
        <f>D39*1.11</f>
        <v>499500.00000000006</v>
      </c>
      <c r="J39" s="53" t="s">
        <v>159</v>
      </c>
    </row>
    <row r="40" spans="1:10" x14ac:dyDescent="0.3">
      <c r="A40" s="66" t="s">
        <v>153</v>
      </c>
      <c r="B40" s="2" t="s">
        <v>165</v>
      </c>
      <c r="C40" s="2">
        <v>2030</v>
      </c>
      <c r="D40" s="15">
        <f>1061*1000</f>
        <v>1061000</v>
      </c>
      <c r="E40" s="36" t="s">
        <v>163</v>
      </c>
      <c r="F40" s="69" t="s">
        <v>162</v>
      </c>
      <c r="G40" s="2"/>
      <c r="H40" s="2" t="s">
        <v>166</v>
      </c>
      <c r="I40" s="2">
        <f>D40*0.951*1.11</f>
        <v>1120002.2100000002</v>
      </c>
      <c r="J40" s="53" t="s">
        <v>158</v>
      </c>
    </row>
    <row r="41" spans="1:10" x14ac:dyDescent="0.3">
      <c r="A41" s="66" t="s">
        <v>154</v>
      </c>
      <c r="B41" s="2" t="s">
        <v>165</v>
      </c>
      <c r="C41" s="2">
        <v>2030</v>
      </c>
      <c r="D41" s="15">
        <f>5.68*1000</f>
        <v>5680</v>
      </c>
      <c r="E41" s="36" t="s">
        <v>164</v>
      </c>
      <c r="F41" s="69" t="s">
        <v>162</v>
      </c>
      <c r="G41" s="2"/>
      <c r="H41" s="2" t="s">
        <v>167</v>
      </c>
      <c r="I41" s="2">
        <f>D41*0.951*1.11</f>
        <v>5995.8648000000003</v>
      </c>
      <c r="J41" s="53" t="s">
        <v>159</v>
      </c>
    </row>
  </sheetData>
  <hyperlinks>
    <hyperlink ref="F2" r:id="rId1" xr:uid="{00000000-0004-0000-0600-000000000000}"/>
    <hyperlink ref="G2" r:id="rId2" xr:uid="{00000000-0004-0000-0600-000001000000}"/>
    <hyperlink ref="F3" r:id="rId3" xr:uid="{00000000-0004-0000-0600-000002000000}"/>
    <hyperlink ref="G3" r:id="rId4" xr:uid="{00000000-0004-0000-0600-000003000000}"/>
    <hyperlink ref="R3" r:id="rId5" xr:uid="{00000000-0004-0000-0600-000004000000}"/>
    <hyperlink ref="F4" r:id="rId6" xr:uid="{00000000-0004-0000-0600-000005000000}"/>
    <hyperlink ref="R4" r:id="rId7" xr:uid="{00000000-0004-0000-0600-000006000000}"/>
    <hyperlink ref="F5" r:id="rId8" xr:uid="{00000000-0004-0000-0600-000007000000}"/>
    <hyperlink ref="R5" r:id="rId9" xr:uid="{00000000-0004-0000-0600-000008000000}"/>
    <hyperlink ref="F6" r:id="rId10" xr:uid="{00000000-0004-0000-0600-000009000000}"/>
    <hyperlink ref="G6" r:id="rId11" xr:uid="{00000000-0004-0000-0600-00000A000000}"/>
    <hyperlink ref="R6" r:id="rId12" xr:uid="{00000000-0004-0000-0600-00000B000000}"/>
    <hyperlink ref="F7" r:id="rId13" xr:uid="{00000000-0004-0000-0600-00000C000000}"/>
    <hyperlink ref="G7" r:id="rId14" xr:uid="{00000000-0004-0000-0600-00000D000000}"/>
    <hyperlink ref="R7" r:id="rId15" xr:uid="{00000000-0004-0000-0600-00000E000000}"/>
    <hyperlink ref="F8" r:id="rId16" xr:uid="{00000000-0004-0000-0600-00000F000000}"/>
    <hyperlink ref="R8" r:id="rId17" xr:uid="{00000000-0004-0000-0600-000010000000}"/>
    <hyperlink ref="F9" r:id="rId18" xr:uid="{00000000-0004-0000-0600-000011000000}"/>
    <hyperlink ref="G9" r:id="rId19" xr:uid="{00000000-0004-0000-0600-000012000000}"/>
    <hyperlink ref="R9" r:id="rId20" xr:uid="{00000000-0004-0000-0600-000013000000}"/>
    <hyperlink ref="F10" r:id="rId21" xr:uid="{00000000-0004-0000-0600-000014000000}"/>
    <hyperlink ref="G10" r:id="rId22" xr:uid="{00000000-0004-0000-0600-000015000000}"/>
    <hyperlink ref="R10" r:id="rId23" xr:uid="{00000000-0004-0000-0600-000016000000}"/>
    <hyperlink ref="F11" r:id="rId24" xr:uid="{00000000-0004-0000-0600-000017000000}"/>
    <hyperlink ref="F12" r:id="rId25" xr:uid="{00000000-0004-0000-0600-000018000000}"/>
    <hyperlink ref="G12" r:id="rId26" xr:uid="{00000000-0004-0000-0600-000019000000}"/>
    <hyperlink ref="F13" r:id="rId27" xr:uid="{00000000-0004-0000-0600-00001A000000}"/>
    <hyperlink ref="G13" r:id="rId28" xr:uid="{00000000-0004-0000-0600-00001B000000}"/>
    <hyperlink ref="F14" r:id="rId29" xr:uid="{00000000-0004-0000-0600-00001C000000}"/>
    <hyperlink ref="G14" r:id="rId30" xr:uid="{00000000-0004-0000-0600-00001D000000}"/>
    <hyperlink ref="F15" r:id="rId31" xr:uid="{00000000-0004-0000-0600-00001E000000}"/>
    <hyperlink ref="G15" r:id="rId32" xr:uid="{00000000-0004-0000-0600-00001F000000}"/>
    <hyperlink ref="F16" r:id="rId33" xr:uid="{00000000-0004-0000-0600-000020000000}"/>
    <hyperlink ref="G16" r:id="rId34" xr:uid="{00000000-0004-0000-0600-000021000000}"/>
    <hyperlink ref="F17" r:id="rId35" xr:uid="{00000000-0004-0000-0600-000022000000}"/>
    <hyperlink ref="G17" r:id="rId36" xr:uid="{00000000-0004-0000-0600-000023000000}"/>
    <hyperlink ref="F18" r:id="rId37" xr:uid="{00000000-0004-0000-0600-000024000000}"/>
    <hyperlink ref="F19" r:id="rId38" xr:uid="{00000000-0004-0000-0600-000025000000}"/>
    <hyperlink ref="F20" r:id="rId39" xr:uid="{00000000-0004-0000-0600-000026000000}"/>
    <hyperlink ref="G20" r:id="rId40" xr:uid="{00000000-0004-0000-0600-000027000000}"/>
    <hyperlink ref="F21" r:id="rId41" xr:uid="{00000000-0004-0000-0600-000028000000}"/>
    <hyperlink ref="G21" r:id="rId42" xr:uid="{00000000-0004-0000-0600-000029000000}"/>
    <hyperlink ref="F22" r:id="rId43" xr:uid="{00000000-0004-0000-0600-00002A000000}"/>
    <hyperlink ref="F23" r:id="rId44" xr:uid="{00000000-0004-0000-0600-00002B000000}"/>
    <hyperlink ref="G23" r:id="rId45" xr:uid="{00000000-0004-0000-0600-00002C000000}"/>
    <hyperlink ref="F24" r:id="rId46" xr:uid="{00000000-0004-0000-0600-00002D000000}"/>
    <hyperlink ref="G24" r:id="rId47" xr:uid="{00000000-0004-0000-0600-00002E000000}"/>
    <hyperlink ref="F25" r:id="rId48" xr:uid="{00000000-0004-0000-0600-00002F000000}"/>
    <hyperlink ref="F26" r:id="rId49" xr:uid="{00000000-0004-0000-0600-000030000000}"/>
    <hyperlink ref="H26" r:id="rId50" xr:uid="{00000000-0004-0000-0600-000031000000}"/>
    <hyperlink ref="F27" r:id="rId51" xr:uid="{00000000-0004-0000-0600-000032000000}"/>
    <hyperlink ref="G27" r:id="rId52" xr:uid="{00000000-0004-0000-0600-000033000000}"/>
    <hyperlink ref="H27" r:id="rId53" xr:uid="{00000000-0004-0000-0600-000034000000}"/>
    <hyperlink ref="F28" r:id="rId54" xr:uid="{00000000-0004-0000-0600-000035000000}"/>
    <hyperlink ref="G28" r:id="rId55" xr:uid="{00000000-0004-0000-0600-000036000000}"/>
    <hyperlink ref="H28" r:id="rId56" xr:uid="{00000000-0004-0000-0600-000037000000}"/>
    <hyperlink ref="F29" r:id="rId57" xr:uid="{00000000-0004-0000-0600-000038000000}"/>
    <hyperlink ref="G29" r:id="rId58" xr:uid="{00000000-0004-0000-0600-000039000000}"/>
    <hyperlink ref="H29" r:id="rId59" xr:uid="{00000000-0004-0000-0600-00003A000000}"/>
    <hyperlink ref="F30" r:id="rId60" xr:uid="{00000000-0004-0000-0600-00003B000000}"/>
    <hyperlink ref="G30" r:id="rId61" xr:uid="{00000000-0004-0000-0600-00003C000000}"/>
    <hyperlink ref="H30" r:id="rId62" xr:uid="{00000000-0004-0000-0600-00003D000000}"/>
    <hyperlink ref="F31" r:id="rId63" xr:uid="{00000000-0004-0000-0600-00003E000000}"/>
    <hyperlink ref="G31" r:id="rId64" xr:uid="{00000000-0004-0000-0600-00003F000000}"/>
    <hyperlink ref="H31" r:id="rId65" xr:uid="{00000000-0004-0000-0600-000040000000}"/>
    <hyperlink ref="F32" r:id="rId66" xr:uid="{00000000-0004-0000-0600-000041000000}"/>
    <hyperlink ref="G32" r:id="rId67" xr:uid="{00000000-0004-0000-0600-000042000000}"/>
    <hyperlink ref="H32" r:id="rId68" xr:uid="{00000000-0004-0000-0600-000043000000}"/>
    <hyperlink ref="F33" r:id="rId69" xr:uid="{00000000-0004-0000-0600-000044000000}"/>
    <hyperlink ref="H33" r:id="rId70" xr:uid="{00000000-0004-0000-0600-000045000000}"/>
    <hyperlink ref="F34" r:id="rId71" xr:uid="{00000000-0004-0000-0600-000046000000}"/>
    <hyperlink ref="H34" r:id="rId72" xr:uid="{00000000-0004-0000-0600-000047000000}"/>
    <hyperlink ref="F35" r:id="rId73" xr:uid="{00000000-0004-0000-0600-000048000000}"/>
    <hyperlink ref="F36" r:id="rId74" xr:uid="{00000000-0004-0000-0600-000049000000}"/>
    <hyperlink ref="F37" r:id="rId75" xr:uid="{00000000-0004-0000-0600-00004A000000}"/>
    <hyperlink ref="F38" r:id="rId76" xr:uid="{923873DF-CEAE-4A3A-9AFA-1A1D1F42FD8C}"/>
    <hyperlink ref="F39" r:id="rId77" xr:uid="{0456D716-3B3A-4889-9BAA-6D8482BC5B9F}"/>
    <hyperlink ref="F40" r:id="rId78" location="page=118.76" xr:uid="{AA929CB3-630E-4550-B684-05A77ED73FBE}"/>
    <hyperlink ref="F41" r:id="rId79" location="page=118.76" xr:uid="{5EA159DC-7E95-4F3A-964F-498525E801F1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"/>
  <sheetViews>
    <sheetView zoomScale="110" zoomScaleNormal="110" workbookViewId="0">
      <selection activeCell="F4" sqref="F4"/>
    </sheetView>
  </sheetViews>
  <sheetFormatPr defaultColWidth="8.5546875" defaultRowHeight="14.4" x14ac:dyDescent="0.3"/>
  <cols>
    <col min="1" max="1" width="26.109375" style="1" customWidth="1"/>
    <col min="3" max="3" width="15.109375" style="1" customWidth="1"/>
    <col min="4" max="4" width="10.109375" style="1" customWidth="1"/>
    <col min="6" max="6" width="14.5546875" style="1" customWidth="1"/>
    <col min="7" max="7" width="19.5546875" style="1" customWidth="1"/>
    <col min="8" max="8" width="14.44140625" style="1" customWidth="1"/>
  </cols>
  <sheetData>
    <row r="1" spans="1:8" x14ac:dyDescent="0.3"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</row>
    <row r="2" spans="1:8" x14ac:dyDescent="0.3">
      <c r="A2" s="1" t="s">
        <v>4</v>
      </c>
      <c r="B2" s="1">
        <f>discount_rate!B2</f>
        <v>5.7000000000000002E-2</v>
      </c>
      <c r="C2" s="13">
        <f>CAPEX!B2</f>
        <v>591394.5</v>
      </c>
      <c r="D2" s="18">
        <f>OPEX!B2</f>
        <v>1.7274999999999999E-2</v>
      </c>
      <c r="E2" s="1">
        <v>20</v>
      </c>
      <c r="F2" s="1">
        <v>0.15</v>
      </c>
      <c r="G2" s="5">
        <f>PMT(B2,E2,-1)</f>
        <v>8.5073306425680659E-2</v>
      </c>
      <c r="H2" s="18">
        <f>C2*(D2+G2)/(8760*F2*1)</f>
        <v>46.064098557429375</v>
      </c>
    </row>
    <row r="3" spans="1:8" x14ac:dyDescent="0.3">
      <c r="A3" s="1" t="s">
        <v>8</v>
      </c>
      <c r="B3" s="1">
        <f>discount_rate!B3</f>
        <v>7.5999999999999998E-2</v>
      </c>
      <c r="C3" s="13">
        <f>CAPEX!B3/1.5</f>
        <v>1510344.4450000003</v>
      </c>
      <c r="D3" s="18">
        <f>OPEX!B3</f>
        <v>1.2346999999999999E-2</v>
      </c>
      <c r="E3" s="1">
        <v>25</v>
      </c>
      <c r="F3" s="1">
        <v>0.25</v>
      </c>
      <c r="G3" s="5">
        <f>PMT(B3,E3,-1)</f>
        <v>9.0498958147827546E-2</v>
      </c>
      <c r="H3" s="18">
        <f>C3*(D3+G3)/(8760*F3*1)</f>
        <v>70.928229031631901</v>
      </c>
    </row>
    <row r="4" spans="1:8" x14ac:dyDescent="0.3">
      <c r="A4" s="2" t="s">
        <v>9</v>
      </c>
      <c r="B4" s="18">
        <f>discount_rate!B4</f>
        <v>4.4999999999999998E-2</v>
      </c>
      <c r="C4" s="13">
        <f>CAPEX!B4</f>
        <v>8296176.25</v>
      </c>
      <c r="D4" s="18">
        <f>OPEX!B4</f>
        <v>3.3000000000000002E-2</v>
      </c>
      <c r="E4" s="1">
        <v>60</v>
      </c>
      <c r="F4" s="1">
        <v>0.85</v>
      </c>
      <c r="G4" s="5">
        <f>PMT(B4,E4,-1)</f>
        <v>4.8454255846261174E-2</v>
      </c>
      <c r="H4" s="18">
        <f>C4*(D4+G4)/(8760*F4*1)</f>
        <v>90.754614935962351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discount_rate</vt:lpstr>
      <vt:lpstr>OPEX</vt:lpstr>
      <vt:lpstr>CAPEX</vt:lpstr>
      <vt:lpstr>Fuel_cost</vt:lpstr>
      <vt:lpstr>Transmission_abroad</vt:lpstr>
      <vt:lpstr>raw_data_commodity</vt:lpstr>
      <vt:lpstr>raw_data_techs</vt:lpstr>
      <vt:lpstr>resulting_lcoe_input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Bertoni, L. (Luca)</dc:creator>
  <dc:description/>
  <cp:lastModifiedBy>Bertoni, L. (Luca)</cp:lastModifiedBy>
  <cp:revision>3</cp:revision>
  <dcterms:created xsi:type="dcterms:W3CDTF">2025-02-22T22:15:39Z</dcterms:created>
  <dcterms:modified xsi:type="dcterms:W3CDTF">2026-02-13T12:56:03Z</dcterms:modified>
  <dc:language>en-US</dc:language>
</cp:coreProperties>
</file>