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iscount_rate" sheetId="1" state="visible" r:id="rId3"/>
    <sheet name="OPEX" sheetId="2" state="visible" r:id="rId4"/>
    <sheet name="CAPEX" sheetId="3" state="visible" r:id="rId5"/>
    <sheet name="Fuel_cost" sheetId="4" state="visible" r:id="rId6"/>
    <sheet name="Transmission_abroad" sheetId="5" state="visible" r:id="rId7"/>
    <sheet name="raw_data_commodity" sheetId="6" state="visible" r:id="rId8"/>
    <sheet name="raw_data_techs" sheetId="7" state="visible" r:id="rId9"/>
    <sheet name="resulting_lcoe_inpu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 xml:space="preserve">Tutti I tipi</t>
        </r>
      </text>
    </comment>
    <comment ref="A9" authorId="0">
      <text>
        <r>
          <rPr>
            <sz val="10"/>
            <rFont val="Arial"/>
            <family val="2"/>
          </rPr>
          <t xml:space="preserve">Bertoni, L. (Luca):
</t>
        </r>
        <r>
          <rPr>
            <sz val="9"/>
            <color rgb="FF000000"/>
            <rFont val="Tahoma"/>
            <family val="2"/>
            <charset val="1"/>
          </rPr>
          <t xml:space="preserve">in MWh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3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4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5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6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7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  <comment ref="F8" authorId="0">
      <text>
        <r>
          <rPr>
            <sz val="10"/>
            <rFont val="Arial"/>
            <family val="2"/>
          </rPr>
          <t xml:space="preserve">Gianvito Colucci:
</t>
        </r>
        <r>
          <rPr>
            <sz val="9"/>
            <color rgb="FF000000"/>
            <rFont val="Tahoma"/>
            <family val="2"/>
            <charset val="1"/>
          </rPr>
          <t xml:space="preserve">i.e., TTF</t>
        </r>
      </text>
    </comment>
  </commentList>
</comments>
</file>

<file path=xl/sharedStrings.xml><?xml version="1.0" encoding="utf-8"?>
<sst xmlns="http://schemas.openxmlformats.org/spreadsheetml/2006/main" count="492" uniqueCount="143">
  <si>
    <t xml:space="preserve">discount_rate</t>
  </si>
  <si>
    <t xml:space="preserve">unit</t>
  </si>
  <si>
    <t xml:space="preserve">reference</t>
  </si>
  <si>
    <t xml:space="preserve">comment</t>
  </si>
  <si>
    <t xml:space="preserve">Photovoltaic</t>
  </si>
  <si>
    <t xml:space="preserve">fraction of capex</t>
  </si>
  <si>
    <t xml:space="preserve">TEMOA-Italy</t>
  </si>
  <si>
    <t xml:space="preserve">Paper di supporto</t>
  </si>
  <si>
    <t xml:space="preserve">WindTurbine_Onshore_1500</t>
  </si>
  <si>
    <t xml:space="preserve">NuclearPlant</t>
  </si>
  <si>
    <t xml:space="preserve">Storage_Battery</t>
  </si>
  <si>
    <t xml:space="preserve">Hydro_Reservoir</t>
  </si>
  <si>
    <t xml:space="preserve">GasTurbine_simple</t>
  </si>
  <si>
    <t xml:space="preserve">CoalPlant</t>
  </si>
  <si>
    <t xml:space="preserve">PumpedHydro_Closed</t>
  </si>
  <si>
    <t xml:space="preserve">OPEX</t>
  </si>
  <si>
    <t xml:space="preserve">PyPSA/technology-data</t>
  </si>
  <si>
    <t xml:space="preserve">2025-Mixed investment costs based on average of 50% 'solar-rooftop' and 50% 'solar-utility'</t>
  </si>
  <si>
    <t xml:space="preserve">assumed same as coal</t>
  </si>
  <si>
    <t xml:space="preserve">assumed same as PV</t>
  </si>
  <si>
    <t xml:space="preserve">2025, Gas turbine, simple cycle</t>
  </si>
  <si>
    <t xml:space="preserve">CAPEX</t>
  </si>
  <si>
    <t xml:space="preserve">EUR/MW</t>
  </si>
  <si>
    <t xml:space="preserve">EUR/(1.5MW_turbine)</t>
  </si>
  <si>
    <t xml:space="preserve">Media tra IAEA e S&amp;P</t>
  </si>
  <si>
    <t xml:space="preserve">EPR nuova costruzione, ~2020-2024</t>
  </si>
  <si>
    <t xml:space="preserve">EUR/MWh</t>
  </si>
  <si>
    <t xml:space="preserve">2025, 2 h, Average utility-home</t>
  </si>
  <si>
    <t xml:space="preserve">fuel_cost</t>
  </si>
  <si>
    <t xml:space="preserve">costo_combustibile_gas</t>
  </si>
  <si>
    <t xml:space="preserve"> EUR/MWh</t>
  </si>
  <si>
    <t xml:space="preserve">World Bank</t>
  </si>
  <si>
    <t xml:space="preserve">Average annual value, 2024</t>
  </si>
  <si>
    <t xml:space="preserve">costo_combustibile_carbone</t>
  </si>
  <si>
    <t xml:space="preserve">costo_combustibile_nucleare </t>
  </si>
  <si>
    <t xml:space="preserve">World Nuclear Association, EIA, NREL</t>
  </si>
  <si>
    <t xml:space="preserve">Average between values found (2020-2021)</t>
  </si>
  <si>
    <t xml:space="preserve">capacity</t>
  </si>
  <si>
    <t xml:space="preserve">price</t>
  </si>
  <si>
    <t xml:space="preserve">emission_factor_t/MWh</t>
  </si>
  <si>
    <t xml:space="preserve">NORD</t>
  </si>
  <si>
    <t xml:space="preserve">electricity map</t>
  </si>
  <si>
    <t xml:space="preserve">Include francia, svizzera, slovenia, austria</t>
  </si>
  <si>
    <t xml:space="preserve">CALA</t>
  </si>
  <si>
    <t xml:space="preserve">CNOR</t>
  </si>
  <si>
    <t xml:space="preserve">CSUD</t>
  </si>
  <si>
    <t xml:space="preserve">SUD</t>
  </si>
  <si>
    <t xml:space="preserve">grecia</t>
  </si>
  <si>
    <t xml:space="preserve">SARD</t>
  </si>
  <si>
    <t xml:space="preserve">SICI</t>
  </si>
  <si>
    <t xml:space="preserve">Entry voice</t>
  </si>
  <si>
    <t xml:space="preserve">Year</t>
  </si>
  <si>
    <t xml:space="preserve">Value</t>
  </si>
  <si>
    <t xml:space="preserve">Unit</t>
  </si>
  <si>
    <t xml:space="preserve">Reference</t>
  </si>
  <si>
    <t xml:space="preserve">Comment</t>
  </si>
  <si>
    <t xml:space="preserve">Model input value</t>
  </si>
  <si>
    <t xml:space="preserve">Model unit</t>
  </si>
  <si>
    <t xml:space="preserve">costo combustibile gas</t>
  </si>
  <si>
    <t xml:space="preserve">($2010/mmbtu)</t>
  </si>
  <si>
    <t xml:space="preserve">Natural gas, Europe</t>
  </si>
  <si>
    <t xml:space="preserve">(€2020/MWh)</t>
  </si>
  <si>
    <t xml:space="preserve">Conversion</t>
  </si>
  <si>
    <t xml:space="preserve">Multiplier</t>
  </si>
  <si>
    <t xml:space="preserve">€2020/$2010</t>
  </si>
  <si>
    <t xml:space="preserve">Harmonised Index of Consumer Prices (HICP)</t>
  </si>
  <si>
    <t xml:space="preserve">MWh/mmbtu</t>
  </si>
  <si>
    <t xml:space="preserve">MWh/kcal</t>
  </si>
  <si>
    <t xml:space="preserve">Standard heating value of thermal coal (kcal/kg)</t>
  </si>
  <si>
    <t xml:space="preserve">€2020/$2021</t>
  </si>
  <si>
    <t xml:space="preserve">€2020/$2020</t>
  </si>
  <si>
    <t xml:space="preserve">costo combustibile carbone</t>
  </si>
  <si>
    <t xml:space="preserve">($2010/mt)</t>
  </si>
  <si>
    <t xml:space="preserve">Coal, Australian</t>
  </si>
  <si>
    <t xml:space="preserve">costo combustibile nucleare </t>
  </si>
  <si>
    <t xml:space="preserve">(c$2021/kWh)</t>
  </si>
  <si>
    <t xml:space="preserve">World Nuclear Association</t>
  </si>
  <si>
    <t xml:space="preserve">2020-2040</t>
  </si>
  <si>
    <t xml:space="preserve">($2020/MWh)</t>
  </si>
  <si>
    <t xml:space="preserve">NREL</t>
  </si>
  <si>
    <t xml:space="preserve">EIA</t>
  </si>
  <si>
    <t xml:space="preserve">Tech type</t>
  </si>
  <si>
    <t xml:space="preserve">Comment 1</t>
  </si>
  <si>
    <t xml:space="preserve">Comment 2</t>
  </si>
  <si>
    <t xml:space="preserve">CAPEX solare</t>
  </si>
  <si>
    <t xml:space="preserve">Utility scale</t>
  </si>
  <si>
    <t xml:space="preserve">(M$2020/GW)</t>
  </si>
  <si>
    <t xml:space="preserve">Dati elaborati da NREL</t>
  </si>
  <si>
    <t xml:space="preserve">(€2020/MW)</t>
  </si>
  <si>
    <t xml:space="preserve">General</t>
  </si>
  <si>
    <t xml:space="preserve">Dati elaborati da Danish Energy Agency</t>
  </si>
  <si>
    <t xml:space="preserve">Mixed investment costs based on average of 50% 'solar-rooftop' and 50% 'solar-utility'</t>
  </si>
  <si>
    <t xml:space="preserve">€2020/€2015</t>
  </si>
  <si>
    <t xml:space="preserve">Utility</t>
  </si>
  <si>
    <t xml:space="preserve">€2020/€2010</t>
  </si>
  <si>
    <t xml:space="preserve">CAPEX eolico</t>
  </si>
  <si>
    <t xml:space="preserve">Onshore</t>
  </si>
  <si>
    <t xml:space="preserve">€2020/€2024</t>
  </si>
  <si>
    <t xml:space="preserve">€2020/€2018</t>
  </si>
  <si>
    <t xml:space="preserve">(M$2015/GW)</t>
  </si>
  <si>
    <t xml:space="preserve">€2018/$2018</t>
  </si>
  <si>
    <t xml:space="preserve">Banca d’Italia</t>
  </si>
  <si>
    <t xml:space="preserve">Offshore</t>
  </si>
  <si>
    <t xml:space="preserve">Offshore acque profonde</t>
  </si>
  <si>
    <t xml:space="preserve">CAPEX nucleare</t>
  </si>
  <si>
    <t xml:space="preserve">AP1000</t>
  </si>
  <si>
    <t xml:space="preserve">Include il decommissioning</t>
  </si>
  <si>
    <t xml:space="preserve">SMR</t>
  </si>
  <si>
    <t xml:space="preserve">CAPEX idroelettrico</t>
  </si>
  <si>
    <t xml:space="preserve">(M€2010/GW)</t>
  </si>
  <si>
    <t xml:space="preserve">CAPEX PHS</t>
  </si>
  <si>
    <t xml:space="preserve">(€2015/MWh)</t>
  </si>
  <si>
    <t xml:space="preserve">CAPEX carbone</t>
  </si>
  <si>
    <t xml:space="preserve">Ciclo a vapore</t>
  </si>
  <si>
    <t xml:space="preserve">(M€2015/GW)</t>
  </si>
  <si>
    <t xml:space="preserve">CAPEX gas</t>
  </si>
  <si>
    <t xml:space="preserve">Ciclo combinato</t>
  </si>
  <si>
    <t xml:space="preserve">Gas turbine, simple cycle</t>
  </si>
  <si>
    <t xml:space="preserve">EPR</t>
  </si>
  <si>
    <t xml:space="preserve">(M$2025/GW)</t>
  </si>
  <si>
    <t xml:space="preserve">IAEA</t>
  </si>
  <si>
    <t xml:space="preserve">EPR Francia</t>
  </si>
  <si>
    <t xml:space="preserve">Overnight cost suggerito da Lorenzo Mazzocco, portato dal 2020 al 2025 tramite inflazione di circa il 33% (vedi messaggio discord su Coordinamento energia)</t>
  </si>
  <si>
    <t xml:space="preserve">CAPEX batterie Li-ion </t>
  </si>
  <si>
    <t xml:space="preserve">2h</t>
  </si>
  <si>
    <t xml:space="preserve">Due componenti di costo considerate: power capital cost (€/MW) e energy capital cost (€/MWh). Quest'ultimo moltiplicato per uno "storage duration" di 2 ore. Per ulteriori info, vedere questo paper</t>
  </si>
  <si>
    <t xml:space="preserve">4h</t>
  </si>
  <si>
    <t xml:space="preserve">Due componenti di costo considerate: power capital cost (€/MW) e energy capital cost (€/MWh). Quest'ultimo moltiplicato per uno "storage duration" di 4 ore. Per ulteriori info, vedere questo paper</t>
  </si>
  <si>
    <t xml:space="preserve">2 h - utility</t>
  </si>
  <si>
    <t xml:space="preserve">Durata dovrebbe essere di 2 h</t>
  </si>
  <si>
    <t xml:space="preserve">2 h - home</t>
  </si>
  <si>
    <t xml:space="preserve">(M$2018/GW)</t>
  </si>
  <si>
    <t xml:space="preserve">EPR Francia, nuova costruzione</t>
  </si>
  <si>
    <t xml:space="preserve">(M€2024/GW)</t>
  </si>
  <si>
    <t xml:space="preserve">S&amp;P</t>
  </si>
  <si>
    <t xml:space="preserve">EPR EU, nuova costruzione</t>
  </si>
  <si>
    <t xml:space="preserve">discount rate</t>
  </si>
  <si>
    <t xml:space="preserve">capex [eur/MW]</t>
  </si>
  <si>
    <t xml:space="preserve">opex_fixed</t>
  </si>
  <si>
    <t xml:space="preserve">lifetime</t>
  </si>
  <si>
    <t xml:space="preserve">capacity_factor</t>
  </si>
  <si>
    <t xml:space="preserve">annualization_factor</t>
  </si>
  <si>
    <t xml:space="preserve">lcoe [eur/MWh]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</si>
</sst>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"/>
    <numFmt numFmtId="167" formatCode="0"/>
    <numFmt numFmtId="168" formatCode="General"/>
    <numFmt numFmtId="169" formatCode="0.0"/>
    <numFmt numFmtId="170" formatCode="\€#,##0.00_);[RED]&quot;(€&quot;#,##0.00\)"/>
    <numFmt numFmtId="171" formatCode="0.0E+00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i val="true"/>
      <u val="single"/>
      <sz val="11"/>
      <color theme="10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i val="true"/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0000"/>
      <name val="Aptos Narrow"/>
      <family val="2"/>
      <charset val="1"/>
    </font>
    <font>
      <sz val="10"/>
      <color rgb="FFFF0000"/>
      <name val="Arial"/>
      <family val="2"/>
      <charset val="1"/>
    </font>
    <font>
      <i val="true"/>
      <u val="single"/>
      <sz val="11"/>
      <color rgb="FFFF0000"/>
      <name val="Aptos Narrow"/>
      <family val="2"/>
      <charset val="1"/>
    </font>
    <font>
      <u val="single"/>
      <sz val="11"/>
      <color rgb="FFFF0000"/>
      <name val="Aptos Narrow"/>
      <family val="2"/>
      <charset val="1"/>
    </font>
    <font>
      <i val="true"/>
      <u val="single"/>
      <sz val="11"/>
      <color rgb="FF0000FF"/>
      <name val="Aptos Narrow"/>
      <family val="2"/>
      <charset val="1"/>
    </font>
    <font>
      <u val="single"/>
      <sz val="1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www.sciencedirect.com/science/article/pii/S0306261924020166" TargetMode="External"/><Relationship Id="rId3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www.worldbank.org/en/research/commodity-markets" TargetMode="External"/><Relationship Id="rId5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www.worldbank.org/en/research/commodity-markets" TargetMode="External"/><Relationship Id="rId7" Type="http://schemas.openxmlformats.org/officeDocument/2006/relationships/hyperlink" Target="https://www.worldbank.org/en/research/commodity-markets" TargetMode="External"/><Relationship Id="rId8" Type="http://schemas.openxmlformats.org/officeDocument/2006/relationships/hyperlink" Target="https://www.worldbank.org/en/research/commodity-markets" TargetMode="External"/><Relationship Id="rId9" Type="http://schemas.openxmlformats.org/officeDocument/2006/relationships/hyperlink" Target="https://www.worldbank.org/en/research/commodity-market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PyPSA/technology-data" TargetMode="External"/><Relationship Id="rId2" Type="http://schemas.openxmlformats.org/officeDocument/2006/relationships/hyperlink" Target="https://github.com/PyPSA/technology-data" TargetMode="External"/><Relationship Id="rId3" Type="http://schemas.openxmlformats.org/officeDocument/2006/relationships/hyperlink" Target="https://github.com/PyPSA/technology-data" TargetMode="External"/><Relationship Id="rId4" Type="http://schemas.openxmlformats.org/officeDocument/2006/relationships/hyperlink" Target="https://github.com/PyPSA/technology-data" TargetMode="External"/><Relationship Id="rId5" Type="http://schemas.openxmlformats.org/officeDocument/2006/relationships/hyperlink" Target="https://github.com/PyPSA/technology-data" TargetMode="External"/><Relationship Id="rId6" Type="http://schemas.openxmlformats.org/officeDocument/2006/relationships/hyperlink" Target="https://github.com/PyPSA/technology-data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ithub.com/PyPSA/technology-data" TargetMode="External"/><Relationship Id="rId3" Type="http://schemas.openxmlformats.org/officeDocument/2006/relationships/hyperlink" Target="https://github.com/PyPSA/technology-data" TargetMode="External"/><Relationship Id="rId4" Type="http://schemas.openxmlformats.org/officeDocument/2006/relationships/hyperlink" Target="https://github.com/PyPSA/technology-data" TargetMode="External"/><Relationship Id="rId5" Type="http://schemas.openxmlformats.org/officeDocument/2006/relationships/hyperlink" Target="https://github.com/PyPSA/technology-data" TargetMode="External"/><Relationship Id="rId6" Type="http://schemas.openxmlformats.org/officeDocument/2006/relationships/hyperlink" Target="https://github.com/PyPSA/technology-data" TargetMode="External"/><Relationship Id="rId7" Type="http://schemas.openxmlformats.org/officeDocument/2006/relationships/hyperlink" Target="https://github.com/PyPSA/technology-data" TargetMode="External"/><Relationship Id="rId8" Type="http://schemas.openxmlformats.org/officeDocument/2006/relationships/hyperlink" Target="https://github.com/PyPSA/technology-data" TargetMode="External"/><Relationship Id="rId9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www.worldbank.org/en/research/commodity-markets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worldbank.org/en/research/commodity-markets" TargetMode="External"/><Relationship Id="rId3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www.worldbank.org/en/research/commodity-markets" TargetMode="External"/><Relationship Id="rId5" Type="http://schemas.openxmlformats.org/officeDocument/2006/relationships/hyperlink" Target="https://www.worldbank.org/en/research/commodity-markets" TargetMode="External"/><Relationship Id="rId6" Type="http://schemas.openxmlformats.org/officeDocument/2006/relationships/hyperlink" Target="https://www.worldbank.org/en/research/commodity-markets" TargetMode="External"/><Relationship Id="rId7" Type="http://schemas.openxmlformats.org/officeDocument/2006/relationships/hyperlink" Target="https://www.worldbank.org/en/research/commodity-markets" TargetMode="External"/><Relationship Id="rId8" Type="http://schemas.openxmlformats.org/officeDocument/2006/relationships/hyperlink" Target="https://www.worldbank.org/en/research/commodity-markets" TargetMode="External"/><Relationship Id="rId9" Type="http://schemas.openxmlformats.org/officeDocument/2006/relationships/hyperlink" Target="https://www.ecb.europa.eu/stats/macroeconomic_and_sectoral/hicp/html/index.en.html" TargetMode="External"/><Relationship Id="rId10" Type="http://schemas.openxmlformats.org/officeDocument/2006/relationships/hyperlink" Target="https://www.worldbank.org/en/research/commodity-markets" TargetMode="External"/><Relationship Id="rId11" Type="http://schemas.openxmlformats.org/officeDocument/2006/relationships/hyperlink" Target="https://www.ecb.europa.eu/stats/macroeconomic_and_sectoral/hicp/html/index.en.html" TargetMode="External"/><Relationship Id="rId12" Type="http://schemas.openxmlformats.org/officeDocument/2006/relationships/hyperlink" Target="https://www.worldbank.org/en/research/commodity-markets" TargetMode="External"/><Relationship Id="rId13" Type="http://schemas.openxmlformats.org/officeDocument/2006/relationships/hyperlink" Target="https://www.worldbank.org/en/research/commodity-markets" TargetMode="External"/><Relationship Id="rId14" Type="http://schemas.openxmlformats.org/officeDocument/2006/relationships/hyperlink" Target="https://www.worldbank.org/en/research/commodity-markets" TargetMode="External"/><Relationship Id="rId15" Type="http://schemas.openxmlformats.org/officeDocument/2006/relationships/hyperlink" Target="https://www.worldbank.org/en/research/commodity-markets" TargetMode="External"/><Relationship Id="rId16" Type="http://schemas.openxmlformats.org/officeDocument/2006/relationships/hyperlink" Target="https://www.worldbank.org/en/research/commodity-markets" TargetMode="External"/><Relationship Id="rId17" Type="http://schemas.openxmlformats.org/officeDocument/2006/relationships/hyperlink" Target="https://www.worldbank.org/en/research/commodity-markets" TargetMode="External"/><Relationship Id="rId18" Type="http://schemas.openxmlformats.org/officeDocument/2006/relationships/hyperlink" Target="https://www.worldbank.org/en/research/commodity-markets" TargetMode="External"/><Relationship Id="rId19" Type="http://schemas.openxmlformats.org/officeDocument/2006/relationships/hyperlink" Target="https://world-nuclear.org/information-library/economic-aspects/economics-of-nuclear-power" TargetMode="External"/><Relationship Id="rId20" Type="http://schemas.openxmlformats.org/officeDocument/2006/relationships/hyperlink" Target="https://atb.nrel.gov/electricity/2022/about" TargetMode="External"/><Relationship Id="rId21" Type="http://schemas.openxmlformats.org/officeDocument/2006/relationships/hyperlink" Target="https://www.eia.gov/energyexplained/nuclear/data-and-statistics.php" TargetMode="External"/><Relationship Id="rId2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worldbank.org/en/research/commodity-markets" TargetMode="External"/><Relationship Id="rId2" Type="http://schemas.openxmlformats.org/officeDocument/2006/relationships/hyperlink" Target="https://atb.nrel.gov/electricity/2022/about" TargetMode="External"/><Relationship Id="rId3" Type="http://schemas.openxmlformats.org/officeDocument/2006/relationships/hyperlink" Target="https://www.worldbank.org/en/research/commodity-markets" TargetMode="External"/><Relationship Id="rId4" Type="http://schemas.openxmlformats.org/officeDocument/2006/relationships/hyperlink" Target="https://atb.nrel.gov/electricity/2022/about" TargetMode="External"/><Relationship Id="rId5" Type="http://schemas.openxmlformats.org/officeDocument/2006/relationships/hyperlink" Target="https://www.ecb.europa.eu/stats/macroeconomic_and_sectoral/hicp/html/index.en.html" TargetMode="External"/><Relationship Id="rId6" Type="http://schemas.openxmlformats.org/officeDocument/2006/relationships/hyperlink" Target="https://github.com/PyPSA/technology-data" TargetMode="External"/><Relationship Id="rId7" Type="http://schemas.openxmlformats.org/officeDocument/2006/relationships/hyperlink" Target="https://www.ecb.europa.eu/stats/macroeconomic_and_sectoral/hicp/html/index.en.html" TargetMode="External"/><Relationship Id="rId8" Type="http://schemas.openxmlformats.org/officeDocument/2006/relationships/hyperlink" Target="https://github.com/PyPSA/technology-data" TargetMode="External"/><Relationship Id="rId9" Type="http://schemas.openxmlformats.org/officeDocument/2006/relationships/hyperlink" Target="https://www.ecb.europa.eu/stats/macroeconomic_and_sectoral/hicp/html/index.en.html" TargetMode="External"/><Relationship Id="rId10" Type="http://schemas.openxmlformats.org/officeDocument/2006/relationships/hyperlink" Target="https://www.worldbank.org/en/research/commodity-markets" TargetMode="External"/><Relationship Id="rId11" Type="http://schemas.openxmlformats.org/officeDocument/2006/relationships/hyperlink" Target="https://atb.nrel.gov/electricity/2022/about" TargetMode="External"/><Relationship Id="rId12" Type="http://schemas.openxmlformats.org/officeDocument/2006/relationships/hyperlink" Target="https://www.ecb.europa.eu/stats/macroeconomic_and_sectoral/hicp/html/index.en.html" TargetMode="External"/><Relationship Id="rId13" Type="http://schemas.openxmlformats.org/officeDocument/2006/relationships/hyperlink" Target="https://www.worldbank.org/en/research/commodity-markets" TargetMode="External"/><Relationship Id="rId14" Type="http://schemas.openxmlformats.org/officeDocument/2006/relationships/hyperlink" Target="https://atb.nrel.gov/electricity/2022/about" TargetMode="External"/><Relationship Id="rId15" Type="http://schemas.openxmlformats.org/officeDocument/2006/relationships/hyperlink" Target="https://www.ecb.europa.eu/stats/macroeconomic_and_sectoral/hicp/html/index.en.html" TargetMode="External"/><Relationship Id="rId16" Type="http://schemas.openxmlformats.org/officeDocument/2006/relationships/hyperlink" Target="https://github.com/PyPSA/technology-data" TargetMode="External"/><Relationship Id="rId17" Type="http://schemas.openxmlformats.org/officeDocument/2006/relationships/hyperlink" Target="https://www.bancaditalia.it/compiti/operazioni-cambi/cambio/cambi_rif_20181231/?dotcache=refresh" TargetMode="External"/><Relationship Id="rId18" Type="http://schemas.openxmlformats.org/officeDocument/2006/relationships/hyperlink" Target="https://www.worldbank.org/en/research/commodity-markets" TargetMode="External"/><Relationship Id="rId19" Type="http://schemas.openxmlformats.org/officeDocument/2006/relationships/hyperlink" Target="https://atb.nrel.gov/electricity/2022/about" TargetMode="External"/><Relationship Id="rId20" Type="http://schemas.openxmlformats.org/officeDocument/2006/relationships/hyperlink" Target="https://www.worldbank.org/en/research/commodity-markets" TargetMode="External"/><Relationship Id="rId21" Type="http://schemas.openxmlformats.org/officeDocument/2006/relationships/hyperlink" Target="https://atb.nrel.gov/electricity/2022/about" TargetMode="External"/><Relationship Id="rId22" Type="http://schemas.openxmlformats.org/officeDocument/2006/relationships/hyperlink" Target="https://github.com/PyPSA/technology-data" TargetMode="External"/><Relationship Id="rId23" Type="http://schemas.openxmlformats.org/officeDocument/2006/relationships/hyperlink" Target="https://www.worldbank.org/en/research/commodity-markets" TargetMode="External"/><Relationship Id="rId24" Type="http://schemas.openxmlformats.org/officeDocument/2006/relationships/hyperlink" Target="https://atb.nrel.gov/electricity/2022/about" TargetMode="External"/><Relationship Id="rId25" Type="http://schemas.openxmlformats.org/officeDocument/2006/relationships/hyperlink" Target="https://www.worldbank.org/en/research/commodity-markets" TargetMode="External"/><Relationship Id="rId26" Type="http://schemas.openxmlformats.org/officeDocument/2006/relationships/hyperlink" Target="https://atb.nrel.gov/electricity/2022/about" TargetMode="External"/><Relationship Id="rId27" Type="http://schemas.openxmlformats.org/officeDocument/2006/relationships/hyperlink" Target="https://www.worldbank.org/en/research/commodity-markets" TargetMode="External"/><Relationship Id="rId28" Type="http://schemas.openxmlformats.org/officeDocument/2006/relationships/hyperlink" Target="https://atb.nrel.gov/electricity/2022/about" TargetMode="External"/><Relationship Id="rId29" Type="http://schemas.openxmlformats.org/officeDocument/2006/relationships/hyperlink" Target="https://www.worldbank.org/en/research/commodity-markets" TargetMode="External"/><Relationship Id="rId30" Type="http://schemas.openxmlformats.org/officeDocument/2006/relationships/hyperlink" Target="https://atb.nrel.gov/electricity/2022/about" TargetMode="External"/><Relationship Id="rId31" Type="http://schemas.openxmlformats.org/officeDocument/2006/relationships/hyperlink" Target="https://www.worldbank.org/en/research/commodity-markets" TargetMode="External"/><Relationship Id="rId32" Type="http://schemas.openxmlformats.org/officeDocument/2006/relationships/hyperlink" Target="https://atb.nrel.gov/electricity/2022/about" TargetMode="External"/><Relationship Id="rId33" Type="http://schemas.openxmlformats.org/officeDocument/2006/relationships/hyperlink" Target="https://www.worldbank.org/en/research/commodity-markets" TargetMode="External"/><Relationship Id="rId34" Type="http://schemas.openxmlformats.org/officeDocument/2006/relationships/hyperlink" Target="https://atb.nrel.gov/electricity/2022/about" TargetMode="External"/><Relationship Id="rId35" Type="http://schemas.openxmlformats.org/officeDocument/2006/relationships/hyperlink" Target="https://github.com/PyPSA/technology-data" TargetMode="External"/><Relationship Id="rId36" Type="http://schemas.openxmlformats.org/officeDocument/2006/relationships/hyperlink" Target="https://github.com/PyPSA/technology-data" TargetMode="External"/><Relationship Id="rId37" Type="http://schemas.openxmlformats.org/officeDocument/2006/relationships/hyperlink" Target="https://www.worldbank.org/en/research/commodity-markets" TargetMode="External"/><Relationship Id="rId38" Type="http://schemas.openxmlformats.org/officeDocument/2006/relationships/hyperlink" Target="https://atb.nrel.gov/electricity/2022/about" TargetMode="External"/><Relationship Id="rId39" Type="http://schemas.openxmlformats.org/officeDocument/2006/relationships/hyperlink" Target="https://www.worldbank.org/en/research/commodity-markets" TargetMode="External"/><Relationship Id="rId40" Type="http://schemas.openxmlformats.org/officeDocument/2006/relationships/hyperlink" Target="https://atb.nrel.gov/electricity/2022/about" TargetMode="External"/><Relationship Id="rId41" Type="http://schemas.openxmlformats.org/officeDocument/2006/relationships/hyperlink" Target="https://github.com/PyPSA/technology-data" TargetMode="External"/><Relationship Id="rId42" Type="http://schemas.openxmlformats.org/officeDocument/2006/relationships/hyperlink" Target="https://www.worldbank.org/en/research/commodity-markets" TargetMode="External"/><Relationship Id="rId43" Type="http://schemas.openxmlformats.org/officeDocument/2006/relationships/hyperlink" Target="https://atb.nrel.gov/electricity/2022/about" TargetMode="External"/><Relationship Id="rId44" Type="http://schemas.openxmlformats.org/officeDocument/2006/relationships/hyperlink" Target="https://www.worldbank.org/en/research/commodity-markets" TargetMode="External"/><Relationship Id="rId45" Type="http://schemas.openxmlformats.org/officeDocument/2006/relationships/hyperlink" Target="https://atb.nrel.gov/electricity/2022/about" TargetMode="External"/><Relationship Id="rId46" Type="http://schemas.openxmlformats.org/officeDocument/2006/relationships/hyperlink" Target="https://github.com/PyPSA/technology-data" TargetMode="External"/><Relationship Id="rId47" Type="http://schemas.openxmlformats.org/officeDocument/2006/relationships/hyperlink" Target="https://iea.blob.core.windows.net/assets/ae17da3d-e8a5-4163-a3ec-2e6fb0b5677d/Projected-Costs-of-Generating-Electricity-2020.pdf" TargetMode="External"/><Relationship Id="rId48" Type="http://schemas.openxmlformats.org/officeDocument/2006/relationships/hyperlink" Target="https://discord.com/channels/1294670469055643710/1309503227431092244/1351953237351338015" TargetMode="External"/><Relationship Id="rId49" Type="http://schemas.openxmlformats.org/officeDocument/2006/relationships/hyperlink" Target="https://www.worldbank.org/en/research/commodity-markets" TargetMode="External"/><Relationship Id="rId50" Type="http://schemas.openxmlformats.org/officeDocument/2006/relationships/hyperlink" Target="https://atb.nrel.gov/electricity/2022/about" TargetMode="External"/><Relationship Id="rId51" Type="http://schemas.openxmlformats.org/officeDocument/2006/relationships/hyperlink" Target="https://www.sciencedirect.com/science/article/pii/S2352152X24034005" TargetMode="External"/><Relationship Id="rId52" Type="http://schemas.openxmlformats.org/officeDocument/2006/relationships/hyperlink" Target="https://www.worldbank.org/en/research/commodity-markets" TargetMode="External"/><Relationship Id="rId53" Type="http://schemas.openxmlformats.org/officeDocument/2006/relationships/hyperlink" Target="https://atb.nrel.gov/electricity/2022/about" TargetMode="External"/><Relationship Id="rId54" Type="http://schemas.openxmlformats.org/officeDocument/2006/relationships/hyperlink" Target="https://www.sciencedirect.com/science/article/pii/S2352152X24034005" TargetMode="External"/><Relationship Id="rId55" Type="http://schemas.openxmlformats.org/officeDocument/2006/relationships/hyperlink" Target="https://www.worldbank.org/en/research/commodity-markets" TargetMode="External"/><Relationship Id="rId56" Type="http://schemas.openxmlformats.org/officeDocument/2006/relationships/hyperlink" Target="https://atb.nrel.gov/electricity/2022/about" TargetMode="External"/><Relationship Id="rId57" Type="http://schemas.openxmlformats.org/officeDocument/2006/relationships/hyperlink" Target="https://www.sciencedirect.com/science/article/pii/S2352152X24034005" TargetMode="External"/><Relationship Id="rId58" Type="http://schemas.openxmlformats.org/officeDocument/2006/relationships/hyperlink" Target="https://www.worldbank.org/en/research/commodity-markets" TargetMode="External"/><Relationship Id="rId59" Type="http://schemas.openxmlformats.org/officeDocument/2006/relationships/hyperlink" Target="https://atb.nrel.gov/electricity/2022/about" TargetMode="External"/><Relationship Id="rId60" Type="http://schemas.openxmlformats.org/officeDocument/2006/relationships/hyperlink" Target="https://www.sciencedirect.com/science/article/pii/S2352152X24034005" TargetMode="External"/><Relationship Id="rId61" Type="http://schemas.openxmlformats.org/officeDocument/2006/relationships/hyperlink" Target="https://www.worldbank.org/en/research/commodity-markets" TargetMode="External"/><Relationship Id="rId62" Type="http://schemas.openxmlformats.org/officeDocument/2006/relationships/hyperlink" Target="https://atb.nrel.gov/electricity/2022/about" TargetMode="External"/><Relationship Id="rId63" Type="http://schemas.openxmlformats.org/officeDocument/2006/relationships/hyperlink" Target="https://www.sciencedirect.com/science/article/pii/S2352152X24034005" TargetMode="External"/><Relationship Id="rId64" Type="http://schemas.openxmlformats.org/officeDocument/2006/relationships/hyperlink" Target="https://www.worldbank.org/en/research/commodity-markets" TargetMode="External"/><Relationship Id="rId65" Type="http://schemas.openxmlformats.org/officeDocument/2006/relationships/hyperlink" Target="https://atb.nrel.gov/electricity/2022/about" TargetMode="External"/><Relationship Id="rId66" Type="http://schemas.openxmlformats.org/officeDocument/2006/relationships/hyperlink" Target="https://www.sciencedirect.com/science/article/pii/S2352152X24034005" TargetMode="External"/><Relationship Id="rId67" Type="http://schemas.openxmlformats.org/officeDocument/2006/relationships/hyperlink" Target="https://github.com/PyPSA/technology-data" TargetMode="External"/><Relationship Id="rId68" Type="http://schemas.openxmlformats.org/officeDocument/2006/relationships/hyperlink" Target="https://github.com/PyPSA/technology-data/blob/master/inputs/technology_data_catalogue_for_energy_storage.xlsx" TargetMode="External"/><Relationship Id="rId69" Type="http://schemas.openxmlformats.org/officeDocument/2006/relationships/hyperlink" Target="https://github.com/PyPSA/technology-data" TargetMode="External"/><Relationship Id="rId70" Type="http://schemas.openxmlformats.org/officeDocument/2006/relationships/hyperlink" Target="https://github.com/PyPSA/technology-data/blob/master/inputs/technology_data_catalogue_for_energy_storage.xlsx" TargetMode="External"/><Relationship Id="rId71" Type="http://schemas.openxmlformats.org/officeDocument/2006/relationships/hyperlink" Target="https://iea.blob.core.windows.net/assets/ae17da3d-e8a5-4163-a3ec-2e6fb0b5677d/Projected-Costs-of-Generating-Electricity-2020.pdf" TargetMode="External"/><Relationship Id="rId72" Type="http://schemas.openxmlformats.org/officeDocument/2006/relationships/hyperlink" Target="https://www.spglobal.com/en/research-insights/special-reports/is-europe-ready-for-a-nuclear-renaissan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11.86"/>
    <col collapsed="false" customWidth="true" hidden="false" outlineLevel="0" max="3" min="3" style="1" width="14.43"/>
    <col collapsed="false" customWidth="true" hidden="false" outlineLevel="0" max="4" min="4" style="1" width="19.57"/>
    <col collapsed="false" customWidth="true" hidden="false" outlineLevel="0" max="5" min="5" style="1" width="35.72"/>
  </cols>
  <sheetData>
    <row r="1" customFormat="false" ht="16.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6.4" hidden="false" customHeight="false" outlineLevel="0" collapsed="false">
      <c r="A2" s="1" t="s">
        <v>4</v>
      </c>
      <c r="B2" s="2" t="n">
        <v>0.057</v>
      </c>
      <c r="C2" s="2" t="s">
        <v>5</v>
      </c>
      <c r="D2" s="3" t="s">
        <v>6</v>
      </c>
      <c r="E2" s="4" t="s">
        <v>7</v>
      </c>
    </row>
    <row r="3" customFormat="false" ht="16.4" hidden="false" customHeight="false" outlineLevel="0" collapsed="false">
      <c r="A3" s="1" t="s">
        <v>8</v>
      </c>
      <c r="B3" s="2" t="n">
        <v>0.076</v>
      </c>
      <c r="C3" s="2" t="s">
        <v>5</v>
      </c>
      <c r="D3" s="3" t="s">
        <v>6</v>
      </c>
      <c r="E3" s="4" t="s">
        <v>7</v>
      </c>
    </row>
    <row r="4" customFormat="false" ht="18.75" hidden="false" customHeight="true" outlineLevel="0" collapsed="false">
      <c r="A4" s="2" t="s">
        <v>9</v>
      </c>
      <c r="B4" s="2" t="n">
        <v>0.045</v>
      </c>
      <c r="C4" s="2" t="s">
        <v>5</v>
      </c>
      <c r="D4" s="3" t="s">
        <v>6</v>
      </c>
      <c r="E4" s="4"/>
    </row>
    <row r="5" customFormat="false" ht="18.75" hidden="false" customHeight="true" outlineLevel="0" collapsed="false">
      <c r="A5" s="1" t="s">
        <v>10</v>
      </c>
      <c r="B5" s="2" t="n">
        <v>0.08</v>
      </c>
      <c r="C5" s="2" t="s">
        <v>5</v>
      </c>
      <c r="D5" s="3" t="s">
        <v>6</v>
      </c>
      <c r="E5" s="4"/>
    </row>
    <row r="6" customFormat="false" ht="16.5" hidden="false" customHeight="true" outlineLevel="0" collapsed="false">
      <c r="A6" s="1" t="s">
        <v>11</v>
      </c>
      <c r="B6" s="2" t="n">
        <v>0.052</v>
      </c>
      <c r="C6" s="2" t="s">
        <v>5</v>
      </c>
      <c r="D6" s="3" t="s">
        <v>6</v>
      </c>
      <c r="E6" s="4" t="s">
        <v>7</v>
      </c>
    </row>
    <row r="7" customFormat="false" ht="19.5" hidden="false" customHeight="true" outlineLevel="0" collapsed="false">
      <c r="A7" s="1" t="s">
        <v>12</v>
      </c>
      <c r="B7" s="2" t="n">
        <v>0.027</v>
      </c>
      <c r="C7" s="2" t="s">
        <v>5</v>
      </c>
      <c r="D7" s="3" t="s">
        <v>6</v>
      </c>
      <c r="E7" s="4" t="s">
        <v>7</v>
      </c>
    </row>
    <row r="8" customFormat="false" ht="15" hidden="false" customHeight="true" outlineLevel="0" collapsed="false">
      <c r="A8" s="1" t="s">
        <v>13</v>
      </c>
      <c r="B8" s="2" t="n">
        <v>0.062</v>
      </c>
      <c r="C8" s="2" t="s">
        <v>5</v>
      </c>
      <c r="D8" s="3" t="s">
        <v>6</v>
      </c>
      <c r="E8" s="4" t="s">
        <v>7</v>
      </c>
    </row>
    <row r="9" customFormat="false" ht="16.4" hidden="false" customHeight="false" outlineLevel="0" collapsed="false">
      <c r="A9" s="1" t="s">
        <v>14</v>
      </c>
      <c r="B9" s="2" t="n">
        <v>0.052</v>
      </c>
      <c r="C9" s="2" t="s">
        <v>5</v>
      </c>
      <c r="D9" s="3" t="s">
        <v>6</v>
      </c>
      <c r="E9" s="4" t="s">
        <v>7</v>
      </c>
    </row>
    <row r="17" customFormat="false" ht="15" hidden="false" customHeight="false" outlineLevel="0" collapsed="false">
      <c r="D17" s="5" t="n">
        <f aca="false">PMT(0.07,25,1)</f>
        <v>-0.0858105172206656</v>
      </c>
    </row>
  </sheetData>
  <hyperlinks>
    <hyperlink ref="D2" r:id="rId1" display="TEMOA-Italy"/>
    <hyperlink ref="E2" r:id="rId2" display="Paper di supporto"/>
    <hyperlink ref="D3" r:id="rId3" display="TEMOA-Italy"/>
    <hyperlink ref="D4" r:id="rId4" display="TEMOA-Italy"/>
    <hyperlink ref="D5" r:id="rId5" display="TEMOA-Italy"/>
    <hyperlink ref="D6" r:id="rId6" display="TEMOA-Italy"/>
    <hyperlink ref="D7" r:id="rId7" display="TEMOA-Italy"/>
    <hyperlink ref="D8" r:id="rId8" display="TEMOA-Italy"/>
    <hyperlink ref="D9" r:id="rId9" display="TEMOA-Ital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8.86"/>
    <col collapsed="false" customWidth="true" hidden="false" outlineLevel="0" max="3" min="3" style="1" width="14.43"/>
    <col collapsed="false" customWidth="true" hidden="false" outlineLevel="0" max="4" min="4" style="1" width="19.57"/>
    <col collapsed="false" customWidth="true" hidden="false" outlineLevel="0" max="5" min="5" style="1" width="35.72"/>
  </cols>
  <sheetData>
    <row r="1" customFormat="false" ht="16.5" hidden="false" customHeight="true" outlineLevel="0" collapsed="false">
      <c r="B1" s="1" t="s">
        <v>15</v>
      </c>
      <c r="C1" s="1" t="s">
        <v>1</v>
      </c>
      <c r="D1" s="1" t="s">
        <v>2</v>
      </c>
      <c r="E1" s="1" t="s">
        <v>3</v>
      </c>
    </row>
    <row r="2" customFormat="false" ht="46.25" hidden="false" customHeight="false" outlineLevel="0" collapsed="false">
      <c r="A2" s="1" t="s">
        <v>4</v>
      </c>
      <c r="B2" s="6" t="n">
        <f aca="false">1.7275/100</f>
        <v>0.017275</v>
      </c>
      <c r="C2" s="2" t="s">
        <v>5</v>
      </c>
      <c r="D2" s="3" t="s">
        <v>16</v>
      </c>
      <c r="E2" s="7" t="s">
        <v>17</v>
      </c>
    </row>
    <row r="3" customFormat="false" ht="16.4" hidden="false" customHeight="false" outlineLevel="0" collapsed="false">
      <c r="A3" s="1" t="s">
        <v>8</v>
      </c>
      <c r="B3" s="6" t="n">
        <f aca="false">1.2347/100</f>
        <v>0.012347</v>
      </c>
      <c r="C3" s="2" t="s">
        <v>5</v>
      </c>
      <c r="D3" s="3" t="s">
        <v>16</v>
      </c>
      <c r="E3" s="8" t="n">
        <v>2025</v>
      </c>
    </row>
    <row r="4" customFormat="false" ht="18.75" hidden="false" customHeight="true" outlineLevel="0" collapsed="false">
      <c r="A4" s="2" t="s">
        <v>9</v>
      </c>
      <c r="B4" s="9" t="n">
        <v>0.033</v>
      </c>
      <c r="C4" s="2" t="s">
        <v>5</v>
      </c>
      <c r="D4" s="3"/>
      <c r="E4" s="8" t="s">
        <v>18</v>
      </c>
    </row>
    <row r="5" customFormat="false" ht="18.75" hidden="false" customHeight="true" outlineLevel="0" collapsed="false">
      <c r="A5" s="1" t="s">
        <v>10</v>
      </c>
      <c r="B5" s="9" t="n">
        <v>0.017</v>
      </c>
      <c r="C5" s="2" t="s">
        <v>5</v>
      </c>
      <c r="D5" s="3"/>
      <c r="E5" s="8" t="s">
        <v>19</v>
      </c>
    </row>
    <row r="6" customFormat="false" ht="16.5" hidden="false" customHeight="true" outlineLevel="0" collapsed="false">
      <c r="A6" s="1" t="s">
        <v>11</v>
      </c>
      <c r="B6" s="6" t="n">
        <f aca="false">1/100</f>
        <v>0.01</v>
      </c>
      <c r="C6" s="2" t="s">
        <v>5</v>
      </c>
      <c r="D6" s="3" t="s">
        <v>16</v>
      </c>
      <c r="E6" s="10" t="n">
        <v>2025</v>
      </c>
    </row>
    <row r="7" customFormat="false" ht="19.5" hidden="false" customHeight="true" outlineLevel="0" collapsed="false">
      <c r="A7" s="1" t="s">
        <v>12</v>
      </c>
      <c r="B7" s="6" t="n">
        <f aca="false">3.313/100</f>
        <v>0.03313</v>
      </c>
      <c r="C7" s="2" t="s">
        <v>5</v>
      </c>
      <c r="D7" s="3" t="s">
        <v>16</v>
      </c>
      <c r="E7" s="8" t="s">
        <v>20</v>
      </c>
    </row>
    <row r="8" customFormat="false" ht="15" hidden="false" customHeight="true" outlineLevel="0" collapsed="false">
      <c r="A8" s="1" t="s">
        <v>13</v>
      </c>
      <c r="B8" s="6" t="n">
        <f aca="false">1.6316/100</f>
        <v>0.016316</v>
      </c>
      <c r="C8" s="2" t="s">
        <v>5</v>
      </c>
      <c r="D8" s="3" t="s">
        <v>16</v>
      </c>
      <c r="E8" s="8" t="n">
        <v>2025</v>
      </c>
    </row>
    <row r="9" customFormat="false" ht="16.4" hidden="false" customHeight="false" outlineLevel="0" collapsed="false">
      <c r="A9" s="1" t="s">
        <v>14</v>
      </c>
      <c r="B9" s="6" t="n">
        <f aca="false">0.43/100</f>
        <v>0.0043</v>
      </c>
      <c r="C9" s="2" t="s">
        <v>5</v>
      </c>
      <c r="D9" s="3" t="s">
        <v>16</v>
      </c>
      <c r="E9" s="10" t="n">
        <v>2025</v>
      </c>
    </row>
  </sheetData>
  <hyperlinks>
    <hyperlink ref="D2" r:id="rId1" display="PyPSA/technology-data"/>
    <hyperlink ref="D3" r:id="rId2" display="PyPSA/technology-data"/>
    <hyperlink ref="D6" r:id="rId3" display="PyPSA/technology-data"/>
    <hyperlink ref="D7" r:id="rId4" display="PyPSA/technology-data"/>
    <hyperlink ref="D8" r:id="rId5" display="PyPSA/technology-data"/>
    <hyperlink ref="D9" r:id="rId6" display="PyPSA/technology-dat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8.86"/>
    <col collapsed="false" customWidth="true" hidden="false" outlineLevel="0" max="3" min="3" style="1" width="18.43"/>
    <col collapsed="false" customWidth="true" hidden="false" outlineLevel="0" max="4" min="4" style="1" width="19.57"/>
    <col collapsed="false" customWidth="true" hidden="false" outlineLevel="0" max="5" min="5" style="1" width="35.72"/>
  </cols>
  <sheetData>
    <row r="1" customFormat="false" ht="16.5" hidden="false" customHeight="true" outlineLevel="0" collapsed="false">
      <c r="B1" s="1" t="s">
        <v>21</v>
      </c>
      <c r="C1" s="1" t="s">
        <v>1</v>
      </c>
      <c r="D1" s="1" t="s">
        <v>2</v>
      </c>
      <c r="E1" s="1" t="s">
        <v>3</v>
      </c>
    </row>
    <row r="2" customFormat="false" ht="46.25" hidden="false" customHeight="false" outlineLevel="0" collapsed="false">
      <c r="A2" s="1" t="s">
        <v>4</v>
      </c>
      <c r="B2" s="11" t="n">
        <v>676570.3</v>
      </c>
      <c r="C2" s="2" t="s">
        <v>22</v>
      </c>
      <c r="D2" s="3" t="s">
        <v>16</v>
      </c>
      <c r="E2" s="7" t="s">
        <v>17</v>
      </c>
    </row>
    <row r="3" customFormat="false" ht="16.4" hidden="false" customHeight="false" outlineLevel="0" collapsed="false">
      <c r="A3" s="1" t="s">
        <v>8</v>
      </c>
      <c r="B3" s="12" t="n">
        <f aca="false">1208275.556*1.5</f>
        <v>1812413.334</v>
      </c>
      <c r="C3" s="12" t="s">
        <v>23</v>
      </c>
      <c r="D3" s="3" t="s">
        <v>16</v>
      </c>
      <c r="E3" s="8" t="n">
        <v>2025</v>
      </c>
    </row>
    <row r="4" customFormat="false" ht="18.75" hidden="false" customHeight="true" outlineLevel="0" collapsed="false">
      <c r="A4" s="2" t="s">
        <v>9</v>
      </c>
      <c r="B4" s="13" t="n">
        <f aca="false">1000*raw_data_techs!I37</f>
        <v>5887449.78165939</v>
      </c>
      <c r="C4" s="2" t="s">
        <v>22</v>
      </c>
      <c r="D4" s="8" t="s">
        <v>24</v>
      </c>
      <c r="E4" s="8" t="s">
        <v>25</v>
      </c>
    </row>
    <row r="5" customFormat="false" ht="24.75" hidden="false" customHeight="true" outlineLevel="0" collapsed="false">
      <c r="A5" s="1" t="s">
        <v>10</v>
      </c>
      <c r="B5" s="14" t="n">
        <f aca="false">506759.606*0.3</f>
        <v>152027.8818</v>
      </c>
      <c r="C5" s="2" t="s">
        <v>26</v>
      </c>
      <c r="D5" s="3" t="s">
        <v>16</v>
      </c>
      <c r="E5" s="8" t="s">
        <v>27</v>
      </c>
    </row>
    <row r="6" customFormat="false" ht="34.5" hidden="false" customHeight="true" outlineLevel="0" collapsed="false">
      <c r="A6" s="1" t="s">
        <v>11</v>
      </c>
      <c r="B6" s="2" t="n">
        <v>2593292.178</v>
      </c>
      <c r="C6" s="2" t="s">
        <v>22</v>
      </c>
      <c r="D6" s="3" t="s">
        <v>16</v>
      </c>
      <c r="E6" s="10" t="n">
        <v>2025</v>
      </c>
    </row>
    <row r="7" customFormat="false" ht="34.5" hidden="false" customHeight="true" outlineLevel="0" collapsed="false">
      <c r="A7" s="1" t="s">
        <v>12</v>
      </c>
      <c r="B7" s="15" t="n">
        <v>644986.044</v>
      </c>
      <c r="C7" s="2" t="s">
        <v>22</v>
      </c>
      <c r="D7" s="3" t="s">
        <v>16</v>
      </c>
      <c r="E7" s="8" t="s">
        <v>20</v>
      </c>
    </row>
    <row r="8" customFormat="false" ht="30.75" hidden="false" customHeight="true" outlineLevel="0" collapsed="false">
      <c r="A8" s="1" t="s">
        <v>13</v>
      </c>
      <c r="B8" s="15" t="n">
        <v>2109090.48</v>
      </c>
      <c r="C8" s="2" t="s">
        <v>22</v>
      </c>
      <c r="D8" s="3" t="s">
        <v>16</v>
      </c>
      <c r="E8" s="8" t="n">
        <v>2025</v>
      </c>
    </row>
    <row r="9" customFormat="false" ht="16.4" hidden="false" customHeight="false" outlineLevel="0" collapsed="false">
      <c r="A9" s="1" t="s">
        <v>14</v>
      </c>
      <c r="B9" s="16" t="n">
        <v>60498.50625</v>
      </c>
      <c r="C9" s="2" t="s">
        <v>26</v>
      </c>
      <c r="D9" s="3" t="s">
        <v>16</v>
      </c>
      <c r="E9" s="10" t="n">
        <v>2025</v>
      </c>
    </row>
    <row r="18" customFormat="false" ht="15" hidden="false" customHeight="false" outlineLevel="0" collapsed="false">
      <c r="E18" s="17"/>
    </row>
  </sheetData>
  <hyperlinks>
    <hyperlink ref="D2" r:id="rId2" display="PyPSA/technology-data"/>
    <hyperlink ref="D3" r:id="rId3" display="PyPSA/technology-data"/>
    <hyperlink ref="D5" r:id="rId4" display="PyPSA/technology-data"/>
    <hyperlink ref="D6" r:id="rId5" display="PyPSA/technology-data"/>
    <hyperlink ref="D7" r:id="rId6" display="PyPSA/technology-data"/>
    <hyperlink ref="D8" r:id="rId7" display="PyPSA/technology-data"/>
    <hyperlink ref="D9" r:id="rId8" display="PyPSA/technology-dat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8.86"/>
    <col collapsed="false" customWidth="true" hidden="false" outlineLevel="0" max="3" min="3" style="1" width="10"/>
    <col collapsed="false" customWidth="true" hidden="false" outlineLevel="0" max="4" min="4" style="1" width="19.57"/>
    <col collapsed="false" customWidth="true" hidden="false" outlineLevel="0" max="5" min="5" style="1" width="35.72"/>
  </cols>
  <sheetData>
    <row r="1" customFormat="false" ht="16.5" hidden="false" customHeight="true" outlineLevel="0" collapsed="false">
      <c r="B1" s="1" t="s">
        <v>28</v>
      </c>
      <c r="C1" s="1" t="s">
        <v>1</v>
      </c>
      <c r="D1" s="1" t="s">
        <v>2</v>
      </c>
      <c r="E1" s="1" t="s">
        <v>3</v>
      </c>
    </row>
    <row r="2" customFormat="false" ht="16.4" hidden="false" customHeight="false" outlineLevel="0" collapsed="false">
      <c r="A2" s="2" t="s">
        <v>29</v>
      </c>
      <c r="B2" s="11" t="n">
        <v>27.5385565706876</v>
      </c>
      <c r="C2" s="2" t="s">
        <v>30</v>
      </c>
      <c r="D2" s="18" t="s">
        <v>31</v>
      </c>
      <c r="E2" s="19" t="s">
        <v>32</v>
      </c>
    </row>
    <row r="3" customFormat="false" ht="16.4" hidden="false" customHeight="false" outlineLevel="0" collapsed="false">
      <c r="A3" s="2" t="s">
        <v>33</v>
      </c>
      <c r="B3" s="11" t="n">
        <v>10.3311463705741</v>
      </c>
      <c r="C3" s="2" t="s">
        <v>30</v>
      </c>
      <c r="D3" s="18" t="s">
        <v>31</v>
      </c>
      <c r="E3" s="19" t="s">
        <v>32</v>
      </c>
    </row>
    <row r="4" customFormat="false" ht="42" hidden="false" customHeight="true" outlineLevel="0" collapsed="false">
      <c r="A4" s="2" t="s">
        <v>34</v>
      </c>
      <c r="B4" s="11" t="n">
        <v>4.8</v>
      </c>
      <c r="C4" s="2" t="s">
        <v>30</v>
      </c>
      <c r="D4" s="20" t="s">
        <v>35</v>
      </c>
      <c r="E4" s="19" t="s">
        <v>36</v>
      </c>
    </row>
  </sheetData>
  <hyperlinks>
    <hyperlink ref="D2" r:id="rId1" display="World Bank"/>
    <hyperlink ref="D3" r:id="rId2" display="World Ba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1" activeCellId="0" sqref="D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8.86"/>
    <col collapsed="false" customWidth="true" hidden="false" outlineLevel="0" max="3" min="3" style="1" width="10"/>
    <col collapsed="false" customWidth="true" hidden="false" outlineLevel="0" max="4" min="4" style="1" width="19.57"/>
    <col collapsed="false" customWidth="true" hidden="false" outlineLevel="0" max="5" min="5" style="1" width="35.72"/>
  </cols>
  <sheetData>
    <row r="1" customFormat="false" ht="16.5" hidden="false" customHeight="true" outlineLevel="0" collapsed="false">
      <c r="B1" s="1" t="s">
        <v>37</v>
      </c>
      <c r="C1" s="1" t="s">
        <v>38</v>
      </c>
      <c r="D1" s="1" t="s">
        <v>39</v>
      </c>
      <c r="E1" s="1" t="s">
        <v>2</v>
      </c>
      <c r="F1" s="1" t="s">
        <v>3</v>
      </c>
    </row>
    <row r="2" customFormat="false" ht="16.4" hidden="false" customHeight="false" outlineLevel="0" collapsed="false">
      <c r="A2" s="21" t="s">
        <v>40</v>
      </c>
      <c r="B2" s="2" t="n">
        <v>10138</v>
      </c>
      <c r="C2" s="2" t="n">
        <v>100</v>
      </c>
      <c r="D2" s="1" t="n">
        <v>0</v>
      </c>
      <c r="E2" s="3" t="s">
        <v>41</v>
      </c>
      <c r="F2" s="2" t="s">
        <v>42</v>
      </c>
    </row>
    <row r="3" customFormat="false" ht="15" hidden="false" customHeight="false" outlineLevel="0" collapsed="false">
      <c r="A3" s="21" t="s">
        <v>43</v>
      </c>
      <c r="B3" s="2" t="n">
        <v>0</v>
      </c>
      <c r="C3" s="2" t="n">
        <v>0</v>
      </c>
      <c r="D3" s="2" t="n">
        <v>0</v>
      </c>
      <c r="E3" s="2"/>
    </row>
    <row r="4" customFormat="false" ht="15" hidden="false" customHeight="false" outlineLevel="0" collapsed="false">
      <c r="A4" s="21" t="s">
        <v>44</v>
      </c>
      <c r="B4" s="2" t="n">
        <v>0</v>
      </c>
      <c r="C4" s="2" t="n">
        <v>0</v>
      </c>
      <c r="D4" s="2" t="n">
        <v>0</v>
      </c>
      <c r="E4" s="2"/>
    </row>
    <row r="5" customFormat="false" ht="15" hidden="false" customHeight="false" outlineLevel="0" collapsed="false">
      <c r="A5" s="21" t="s">
        <v>45</v>
      </c>
      <c r="B5" s="2" t="n">
        <v>0</v>
      </c>
      <c r="C5" s="2" t="n">
        <v>0</v>
      </c>
      <c r="D5" s="2" t="n">
        <v>0</v>
      </c>
    </row>
    <row r="6" customFormat="false" ht="16.4" hidden="false" customHeight="false" outlineLevel="0" collapsed="false">
      <c r="A6" s="21" t="s">
        <v>46</v>
      </c>
      <c r="B6" s="2" t="n">
        <v>500</v>
      </c>
      <c r="C6" s="2" t="n">
        <v>100</v>
      </c>
      <c r="D6" s="2" t="n">
        <v>0</v>
      </c>
      <c r="E6" s="3" t="s">
        <v>41</v>
      </c>
      <c r="F6" s="19" t="s">
        <v>47</v>
      </c>
    </row>
    <row r="7" customFormat="false" ht="15" hidden="false" customHeight="false" outlineLevel="0" collapsed="false">
      <c r="A7" s="21" t="s">
        <v>48</v>
      </c>
      <c r="B7" s="2" t="n">
        <v>0</v>
      </c>
      <c r="C7" s="2" t="n">
        <v>0</v>
      </c>
      <c r="D7" s="2" t="n">
        <v>0</v>
      </c>
    </row>
    <row r="8" customFormat="false" ht="15" hidden="false" customHeight="false" outlineLevel="0" collapsed="false">
      <c r="A8" s="21" t="s">
        <v>49</v>
      </c>
      <c r="B8" s="2" t="n">
        <v>0</v>
      </c>
      <c r="C8" s="2" t="n">
        <v>0</v>
      </c>
      <c r="D8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6" activeCellId="0" sqref="G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.14"/>
    <col collapsed="false" customWidth="true" hidden="false" outlineLevel="0" max="2" min="2" style="1" width="14.14"/>
    <col collapsed="false" customWidth="true" hidden="false" outlineLevel="0" max="3" min="3" style="1" width="12.43"/>
    <col collapsed="false" customWidth="true" hidden="false" outlineLevel="0" max="4" min="4" style="1" width="13.86"/>
    <col collapsed="false" customWidth="true" hidden="false" outlineLevel="0" max="5" min="5" style="1" width="22.43"/>
    <col collapsed="false" customWidth="true" hidden="false" outlineLevel="0" max="6" min="6" style="1" width="18.57"/>
    <col collapsed="false" customWidth="true" hidden="false" outlineLevel="0" max="7" min="7" style="1" width="12.57"/>
    <col collapsed="false" customWidth="true" hidden="false" outlineLevel="0" max="8" min="8" style="1" width="15.43"/>
    <col collapsed="false" customWidth="true" hidden="false" outlineLevel="0" max="9" min="9" style="1" width="18.14"/>
    <col collapsed="false" customWidth="true" hidden="false" outlineLevel="0" max="12" min="12" style="1" width="16.43"/>
    <col collapsed="false" customWidth="true" hidden="false" outlineLevel="0" max="13" min="13" style="1" width="9.57"/>
    <col collapsed="false" customWidth="true" hidden="false" outlineLevel="0" max="14" min="14" style="1" width="10.43"/>
    <col collapsed="false" customWidth="true" hidden="false" outlineLevel="0" max="15" min="15" style="1" width="23.43"/>
  </cols>
  <sheetData>
    <row r="1" customFormat="false" ht="42" hidden="false" customHeight="true" outlineLevel="0" collapsed="false">
      <c r="A1" s="22" t="s">
        <v>50</v>
      </c>
      <c r="B1" s="22" t="s">
        <v>51</v>
      </c>
      <c r="C1" s="22" t="s">
        <v>52</v>
      </c>
      <c r="D1" s="22" t="s">
        <v>53</v>
      </c>
      <c r="E1" s="22" t="s">
        <v>54</v>
      </c>
      <c r="F1" s="22" t="s">
        <v>55</v>
      </c>
      <c r="G1" s="23" t="s">
        <v>56</v>
      </c>
      <c r="H1" s="23" t="s">
        <v>57</v>
      </c>
      <c r="J1" s="22"/>
      <c r="K1" s="22"/>
    </row>
    <row r="2" customFormat="false" ht="16.4" hidden="false" customHeight="false" outlineLevel="0" collapsed="false">
      <c r="A2" s="24" t="s">
        <v>58</v>
      </c>
      <c r="B2" s="24" t="n">
        <v>2018</v>
      </c>
      <c r="C2" s="25" t="n">
        <v>7.54140943832</v>
      </c>
      <c r="D2" s="26" t="s">
        <v>59</v>
      </c>
      <c r="E2" s="18" t="s">
        <v>31</v>
      </c>
      <c r="F2" s="27" t="s">
        <v>60</v>
      </c>
      <c r="G2" s="28" t="n">
        <f aca="false">C2*$M$3/$M$4</f>
        <v>21.8055455217419</v>
      </c>
      <c r="H2" s="19" t="s">
        <v>61</v>
      </c>
      <c r="J2" s="22"/>
      <c r="K2" s="22"/>
      <c r="L2" s="22" t="s">
        <v>62</v>
      </c>
      <c r="M2" s="22" t="s">
        <v>63</v>
      </c>
      <c r="N2" s="22" t="s">
        <v>54</v>
      </c>
    </row>
    <row r="3" customFormat="false" ht="16.4" hidden="false" customHeight="false" outlineLevel="0" collapsed="false">
      <c r="A3" s="24" t="s">
        <v>58</v>
      </c>
      <c r="B3" s="24" t="n">
        <v>2019</v>
      </c>
      <c r="C3" s="25" t="n">
        <v>4.82745402713</v>
      </c>
      <c r="D3" s="26" t="s">
        <v>59</v>
      </c>
      <c r="E3" s="18" t="s">
        <v>31</v>
      </c>
      <c r="F3" s="27" t="s">
        <v>60</v>
      </c>
      <c r="G3" s="28" t="n">
        <f aca="false">C3*$M$3/$M$4</f>
        <v>13.9583017476571</v>
      </c>
      <c r="H3" s="19" t="s">
        <v>61</v>
      </c>
      <c r="J3" s="2"/>
      <c r="K3" s="2"/>
      <c r="L3" s="29" t="s">
        <v>64</v>
      </c>
      <c r="M3" s="30" t="n">
        <v>0.85</v>
      </c>
      <c r="N3" s="4" t="s">
        <v>65</v>
      </c>
      <c r="W3" s="22"/>
      <c r="Y3" s="3"/>
    </row>
    <row r="4" customFormat="false" ht="16.4" hidden="false" customHeight="false" outlineLevel="0" collapsed="false">
      <c r="A4" s="24" t="s">
        <v>58</v>
      </c>
      <c r="B4" s="24" t="n">
        <v>2020</v>
      </c>
      <c r="C4" s="25" t="n">
        <v>3.31156694524004</v>
      </c>
      <c r="D4" s="26" t="s">
        <v>59</v>
      </c>
      <c r="E4" s="18" t="s">
        <v>31</v>
      </c>
      <c r="F4" s="27" t="s">
        <v>60</v>
      </c>
      <c r="G4" s="28" t="n">
        <f aca="false">C4*$M$3/$M$4</f>
        <v>9.57520266779388</v>
      </c>
      <c r="H4" s="19" t="s">
        <v>61</v>
      </c>
      <c r="L4" s="29" t="s">
        <v>66</v>
      </c>
      <c r="M4" s="31" t="n">
        <v>0.293971</v>
      </c>
      <c r="N4" s="2"/>
      <c r="W4" s="22"/>
      <c r="Y4" s="23"/>
    </row>
    <row r="5" customFormat="false" ht="16.4" hidden="false" customHeight="false" outlineLevel="0" collapsed="false">
      <c r="A5" s="24" t="s">
        <v>58</v>
      </c>
      <c r="B5" s="24" t="n">
        <v>2021</v>
      </c>
      <c r="C5" s="25" t="n">
        <v>14.7311498614077</v>
      </c>
      <c r="D5" s="26" t="s">
        <v>59</v>
      </c>
      <c r="E5" s="18" t="s">
        <v>31</v>
      </c>
      <c r="F5" s="27" t="s">
        <v>60</v>
      </c>
      <c r="G5" s="28" t="n">
        <f aca="false">C5*$M$3/$M$4</f>
        <v>42.5942605978023</v>
      </c>
      <c r="H5" s="19" t="s">
        <v>61</v>
      </c>
      <c r="L5" s="29" t="s">
        <v>67</v>
      </c>
      <c r="M5" s="32" t="n">
        <f aca="false">1.622*10^-6</f>
        <v>1.622E-006</v>
      </c>
      <c r="W5" s="22"/>
      <c r="Y5" s="33"/>
    </row>
    <row r="6" customFormat="false" ht="49.5" hidden="false" customHeight="true" outlineLevel="0" collapsed="false">
      <c r="A6" s="24" t="s">
        <v>58</v>
      </c>
      <c r="B6" s="24" t="n">
        <v>2022</v>
      </c>
      <c r="C6" s="25" t="n">
        <v>34.346664233461</v>
      </c>
      <c r="D6" s="26" t="s">
        <v>59</v>
      </c>
      <c r="E6" s="18" t="s">
        <v>31</v>
      </c>
      <c r="F6" s="27" t="s">
        <v>60</v>
      </c>
      <c r="G6" s="28" t="n">
        <f aca="false">C6*$M$3/$M$4</f>
        <v>99.3113762869191</v>
      </c>
      <c r="H6" s="19" t="s">
        <v>61</v>
      </c>
      <c r="L6" s="34" t="s">
        <v>68</v>
      </c>
      <c r="M6" s="30" t="n">
        <v>6000</v>
      </c>
      <c r="N6" s="3" t="s">
        <v>31</v>
      </c>
      <c r="Y6" s="14"/>
    </row>
    <row r="7" customFormat="false" ht="16.4" hidden="false" customHeight="false" outlineLevel="0" collapsed="false">
      <c r="A7" s="24" t="s">
        <v>58</v>
      </c>
      <c r="B7" s="24" t="n">
        <v>2023</v>
      </c>
      <c r="C7" s="25" t="n">
        <v>11.4929038091148</v>
      </c>
      <c r="D7" s="26" t="s">
        <v>59</v>
      </c>
      <c r="E7" s="18" t="s">
        <v>31</v>
      </c>
      <c r="F7" s="27" t="s">
        <v>60</v>
      </c>
      <c r="G7" s="28" t="n">
        <f aca="false">C7*$M$3/$M$4</f>
        <v>33.2310610153641</v>
      </c>
      <c r="H7" s="19" t="s">
        <v>61</v>
      </c>
      <c r="L7" s="29" t="s">
        <v>69</v>
      </c>
      <c r="M7" s="30" t="n">
        <v>0.82</v>
      </c>
      <c r="N7" s="4" t="s">
        <v>65</v>
      </c>
      <c r="Y7" s="14"/>
    </row>
    <row r="8" customFormat="false" ht="16.4" hidden="false" customHeight="false" outlineLevel="0" collapsed="false">
      <c r="A8" s="24" t="s">
        <v>58</v>
      </c>
      <c r="B8" s="24" t="n">
        <v>2024</v>
      </c>
      <c r="C8" s="25" t="n">
        <v>9.52416119251955</v>
      </c>
      <c r="D8" s="26" t="s">
        <v>59</v>
      </c>
      <c r="E8" s="18" t="s">
        <v>31</v>
      </c>
      <c r="F8" s="27" t="s">
        <v>60</v>
      </c>
      <c r="G8" s="28" t="n">
        <f aca="false">C8*$M$3/$M$4</f>
        <v>27.5385565706876</v>
      </c>
      <c r="H8" s="19" t="s">
        <v>61</v>
      </c>
      <c r="L8" s="29" t="s">
        <v>70</v>
      </c>
      <c r="M8" s="30" t="n">
        <v>0.88</v>
      </c>
      <c r="N8" s="4" t="s">
        <v>65</v>
      </c>
      <c r="Y8" s="14"/>
    </row>
    <row r="9" customFormat="false" ht="16.4" hidden="false" customHeight="false" outlineLevel="0" collapsed="false">
      <c r="A9" s="24" t="s">
        <v>71</v>
      </c>
      <c r="B9" s="24" t="n">
        <v>2018</v>
      </c>
      <c r="C9" s="25" t="n">
        <v>105.06823090516</v>
      </c>
      <c r="D9" s="26" t="s">
        <v>72</v>
      </c>
      <c r="E9" s="18" t="s">
        <v>31</v>
      </c>
      <c r="F9" s="27" t="s">
        <v>73</v>
      </c>
      <c r="G9" s="28" t="n">
        <f aca="false">C9*$M$3/$M$6/$M$5/1000</f>
        <v>9.17673615591718</v>
      </c>
      <c r="H9" s="19" t="s">
        <v>61</v>
      </c>
      <c r="M9" s="35"/>
      <c r="Y9" s="14"/>
    </row>
    <row r="10" customFormat="false" ht="16.4" hidden="false" customHeight="false" outlineLevel="0" collapsed="false">
      <c r="A10" s="24" t="s">
        <v>71</v>
      </c>
      <c r="B10" s="24" t="n">
        <v>2019</v>
      </c>
      <c r="C10" s="25" t="n">
        <v>78.29295670822</v>
      </c>
      <c r="D10" s="26" t="s">
        <v>72</v>
      </c>
      <c r="E10" s="18" t="s">
        <v>31</v>
      </c>
      <c r="F10" s="27" t="s">
        <v>73</v>
      </c>
      <c r="G10" s="28" t="n">
        <f aca="false">C10*$M$3/$M$6/$M$5/1000</f>
        <v>6.83816411857655</v>
      </c>
      <c r="H10" s="19" t="s">
        <v>61</v>
      </c>
      <c r="M10" s="35"/>
      <c r="Y10" s="14"/>
    </row>
    <row r="11" customFormat="false" ht="16.4" hidden="false" customHeight="false" outlineLevel="0" collapsed="false">
      <c r="A11" s="24" t="s">
        <v>71</v>
      </c>
      <c r="B11" s="24" t="n">
        <v>2020</v>
      </c>
      <c r="C11" s="25" t="n">
        <v>62.0888661899898</v>
      </c>
      <c r="D11" s="26" t="s">
        <v>72</v>
      </c>
      <c r="E11" s="18" t="s">
        <v>31</v>
      </c>
      <c r="F11" s="27" t="s">
        <v>73</v>
      </c>
      <c r="G11" s="28" t="n">
        <f aca="false">C11*$M$3/$M$6/$M$5/1000</f>
        <v>5.42288699768715</v>
      </c>
      <c r="H11" s="19" t="s">
        <v>61</v>
      </c>
      <c r="M11" s="35"/>
      <c r="Y11" s="14"/>
    </row>
    <row r="12" customFormat="false" ht="16.4" hidden="false" customHeight="false" outlineLevel="0" collapsed="false">
      <c r="A12" s="24" t="s">
        <v>71</v>
      </c>
      <c r="B12" s="24" t="n">
        <v>2021</v>
      </c>
      <c r="C12" s="25" t="n">
        <v>126.188299817185</v>
      </c>
      <c r="D12" s="26" t="s">
        <v>72</v>
      </c>
      <c r="E12" s="18" t="s">
        <v>31</v>
      </c>
      <c r="F12" s="27" t="s">
        <v>73</v>
      </c>
      <c r="G12" s="28" t="n">
        <f aca="false">C12*$M$3/$M$6/$M$5/1000</f>
        <v>11.0213784262851</v>
      </c>
      <c r="H12" s="19" t="s">
        <v>61</v>
      </c>
      <c r="M12" s="35"/>
      <c r="Y12" s="14"/>
    </row>
    <row r="13" customFormat="false" ht="16.4" hidden="false" customHeight="false" outlineLevel="0" collapsed="false">
      <c r="A13" s="24" t="s">
        <v>71</v>
      </c>
      <c r="B13" s="24" t="n">
        <v>2022</v>
      </c>
      <c r="C13" s="25" t="n">
        <v>293.651199091809</v>
      </c>
      <c r="D13" s="26" t="s">
        <v>72</v>
      </c>
      <c r="E13" s="18" t="s">
        <v>31</v>
      </c>
      <c r="F13" s="27" t="s">
        <v>73</v>
      </c>
      <c r="G13" s="28" t="n">
        <f aca="false">C13*$M$3/$M$6/$M$5/1000</f>
        <v>25.6477105659718</v>
      </c>
      <c r="H13" s="19" t="s">
        <v>61</v>
      </c>
      <c r="M13" s="35"/>
      <c r="Y13" s="14"/>
    </row>
    <row r="14" customFormat="false" ht="16.4" hidden="false" customHeight="false" outlineLevel="0" collapsed="false">
      <c r="A14" s="24" t="s">
        <v>71</v>
      </c>
      <c r="B14" s="24" t="n">
        <v>2023</v>
      </c>
      <c r="C14" s="25" t="n">
        <v>151.427841075083</v>
      </c>
      <c r="D14" s="26" t="s">
        <v>72</v>
      </c>
      <c r="E14" s="18" t="s">
        <v>31</v>
      </c>
      <c r="F14" s="27" t="s">
        <v>73</v>
      </c>
      <c r="G14" s="28" t="n">
        <f aca="false">C14*$M$3/$M$6/$M$5/1000</f>
        <v>13.2258184251768</v>
      </c>
      <c r="H14" s="19" t="s">
        <v>61</v>
      </c>
      <c r="M14" s="35"/>
      <c r="Y14" s="14"/>
    </row>
    <row r="15" customFormat="false" ht="16.4" hidden="false" customHeight="false" outlineLevel="0" collapsed="false">
      <c r="A15" s="24" t="s">
        <v>71</v>
      </c>
      <c r="B15" s="24" t="n">
        <v>2024</v>
      </c>
      <c r="C15" s="25" t="n">
        <v>118.285548798149</v>
      </c>
      <c r="D15" s="26" t="s">
        <v>72</v>
      </c>
      <c r="E15" s="18" t="s">
        <v>31</v>
      </c>
      <c r="F15" s="27" t="s">
        <v>73</v>
      </c>
      <c r="G15" s="28" t="n">
        <f aca="false">C15*$M$3/$M$6/$M$5/1000</f>
        <v>10.3311463705741</v>
      </c>
      <c r="H15" s="19" t="s">
        <v>61</v>
      </c>
      <c r="M15" s="35"/>
      <c r="Y15" s="14"/>
    </row>
    <row r="16" customFormat="false" ht="16.4" hidden="false" customHeight="false" outlineLevel="0" collapsed="false">
      <c r="A16" s="2" t="s">
        <v>74</v>
      </c>
      <c r="B16" s="24" t="n">
        <v>2021</v>
      </c>
      <c r="C16" s="25" t="n">
        <v>0.46</v>
      </c>
      <c r="D16" s="26" t="s">
        <v>75</v>
      </c>
      <c r="E16" s="18" t="s">
        <v>76</v>
      </c>
      <c r="G16" s="28" t="n">
        <f aca="false">C16*M7/100*1000</f>
        <v>3.772</v>
      </c>
      <c r="H16" s="19" t="s">
        <v>61</v>
      </c>
      <c r="M16" s="35"/>
      <c r="Y16" s="23"/>
    </row>
    <row r="17" customFormat="false" ht="16.4" hidden="false" customHeight="false" outlineLevel="0" collapsed="false">
      <c r="A17" s="2" t="s">
        <v>74</v>
      </c>
      <c r="B17" s="36" t="s">
        <v>77</v>
      </c>
      <c r="C17" s="25" t="n">
        <v>7</v>
      </c>
      <c r="D17" s="37" t="s">
        <v>78</v>
      </c>
      <c r="E17" s="18" t="s">
        <v>79</v>
      </c>
      <c r="G17" s="28" t="n">
        <f aca="false">C17*M7</f>
        <v>5.74</v>
      </c>
      <c r="H17" s="19" t="s">
        <v>61</v>
      </c>
      <c r="M17" s="35"/>
      <c r="Y17" s="33"/>
    </row>
    <row r="18" customFormat="false" ht="16.4" hidden="false" customHeight="false" outlineLevel="0" collapsed="false">
      <c r="A18" s="2" t="s">
        <v>74</v>
      </c>
      <c r="B18" s="24" t="n">
        <v>2021</v>
      </c>
      <c r="C18" s="25" t="n">
        <v>0.61</v>
      </c>
      <c r="D18" s="26" t="s">
        <v>75</v>
      </c>
      <c r="E18" s="18" t="s">
        <v>80</v>
      </c>
      <c r="G18" s="28" t="n">
        <f aca="false">C18*M7/100*1000</f>
        <v>5.002</v>
      </c>
      <c r="H18" s="19" t="s">
        <v>61</v>
      </c>
      <c r="M18" s="35"/>
      <c r="Y18" s="28"/>
    </row>
    <row r="19" customFormat="false" ht="15" hidden="false" customHeight="false" outlineLevel="0" collapsed="false">
      <c r="M19" s="35"/>
      <c r="Y19" s="28"/>
    </row>
    <row r="20" customFormat="false" ht="15" hidden="false" customHeight="false" outlineLevel="0" collapsed="false">
      <c r="E20" s="18"/>
      <c r="Y20" s="28"/>
    </row>
    <row r="21" customFormat="false" ht="15" hidden="false" customHeight="false" outlineLevel="0" collapsed="false">
      <c r="E21" s="38"/>
    </row>
    <row r="22" customFormat="false" ht="15" hidden="false" customHeight="false" outlineLevel="0" collapsed="false">
      <c r="E22" s="39"/>
    </row>
    <row r="27" customFormat="false" ht="15" hidden="false" customHeight="false" outlineLevel="0" collapsed="false">
      <c r="Q27" s="40"/>
      <c r="R27" s="28"/>
      <c r="S27" s="28"/>
    </row>
  </sheetData>
  <hyperlinks>
    <hyperlink ref="E2" r:id="rId2" display="World Bank"/>
    <hyperlink ref="E3" r:id="rId3" display="World Bank"/>
    <hyperlink ref="E4" r:id="rId4" display="World Bank"/>
    <hyperlink ref="E5" r:id="rId5" display="World Bank"/>
    <hyperlink ref="E6" r:id="rId6" display="World Bank"/>
    <hyperlink ref="N6" r:id="rId7" display="World Bank"/>
    <hyperlink ref="E7" r:id="rId8" display="World Bank"/>
    <hyperlink ref="N7" r:id="rId9" display="Harmonised Index of Consumer Prices (HICP)"/>
    <hyperlink ref="E8" r:id="rId10" display="World Bank"/>
    <hyperlink ref="N8" r:id="rId11" display="Harmonised Index of Consumer Prices (HICP)"/>
    <hyperlink ref="E9" r:id="rId12" display="World Bank"/>
    <hyperlink ref="E10" r:id="rId13" display="World Bank"/>
    <hyperlink ref="E11" r:id="rId14" display="World Bank"/>
    <hyperlink ref="E12" r:id="rId15" display="World Bank"/>
    <hyperlink ref="E13" r:id="rId16" display="World Bank"/>
    <hyperlink ref="E14" r:id="rId17" display="World Bank"/>
    <hyperlink ref="E15" r:id="rId18" display="World Bank"/>
    <hyperlink ref="E16" r:id="rId19" display="World Nuclear Association"/>
    <hyperlink ref="E17" r:id="rId20" display="NREL"/>
    <hyperlink ref="E18" r:id="rId21" display="EI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true" showOutlineSymbols="true" defaultGridColor="true" view="normal" topLeftCell="A28" colorId="64" zoomScale="110" zoomScaleNormal="110" zoomScalePageLayoutView="100" workbookViewId="0">
      <selection pane="topLeft" activeCell="I36" activeCellId="0" sqref="I3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23.43"/>
    <col collapsed="false" customWidth="true" hidden="false" outlineLevel="0" max="3" min="3" style="1" width="16"/>
    <col collapsed="false" customWidth="true" hidden="false" outlineLevel="0" max="4" min="4" style="1" width="14.43"/>
    <col collapsed="false" customWidth="true" hidden="false" outlineLevel="0" max="5" min="5" style="1" width="12.43"/>
    <col collapsed="false" customWidth="true" hidden="false" outlineLevel="0" max="6" min="6" style="1" width="12.57"/>
    <col collapsed="false" customWidth="true" hidden="false" outlineLevel="0" max="7" min="7" style="1" width="27.15"/>
    <col collapsed="false" customWidth="true" hidden="false" outlineLevel="0" max="8" min="8" style="1" width="42.57"/>
    <col collapsed="false" customWidth="true" hidden="false" outlineLevel="0" max="9" min="9" style="1" width="13.43"/>
    <col collapsed="false" customWidth="true" hidden="false" outlineLevel="0" max="10" min="10" style="1" width="12.43"/>
    <col collapsed="false" customWidth="true" hidden="false" outlineLevel="0" max="16" min="16" style="1" width="12.43"/>
    <col collapsed="false" customWidth="true" hidden="false" outlineLevel="0" max="17" min="17" style="0" width="7.91"/>
    <col collapsed="false" customWidth="true" hidden="false" outlineLevel="0" max="18" min="18" style="0" width="12.48"/>
  </cols>
  <sheetData>
    <row r="1" customFormat="false" ht="31.3" hidden="false" customHeight="false" outlineLevel="0" collapsed="false">
      <c r="A1" s="22" t="s">
        <v>50</v>
      </c>
      <c r="B1" s="22" t="s">
        <v>81</v>
      </c>
      <c r="C1" s="22" t="s">
        <v>51</v>
      </c>
      <c r="D1" s="22" t="s">
        <v>52</v>
      </c>
      <c r="E1" s="22" t="s">
        <v>53</v>
      </c>
      <c r="F1" s="22" t="s">
        <v>54</v>
      </c>
      <c r="G1" s="22" t="s">
        <v>82</v>
      </c>
      <c r="H1" s="22" t="s">
        <v>83</v>
      </c>
      <c r="I1" s="23" t="s">
        <v>56</v>
      </c>
      <c r="J1" s="23" t="s">
        <v>57</v>
      </c>
    </row>
    <row r="2" customFormat="false" ht="16.25" hidden="false" customHeight="false" outlineLevel="0" collapsed="false">
      <c r="A2" s="2" t="s">
        <v>84</v>
      </c>
      <c r="B2" s="2" t="s">
        <v>85</v>
      </c>
      <c r="C2" s="2" t="n">
        <v>2020</v>
      </c>
      <c r="D2" s="11" t="n">
        <v>1333</v>
      </c>
      <c r="E2" s="37" t="s">
        <v>86</v>
      </c>
      <c r="F2" s="3" t="s">
        <v>6</v>
      </c>
      <c r="G2" s="38" t="s">
        <v>87</v>
      </c>
      <c r="H2" s="38"/>
      <c r="I2" s="11" t="n">
        <f aca="false">D2*$Q$3*10^3</f>
        <v>1173040</v>
      </c>
      <c r="J2" s="2" t="s">
        <v>88</v>
      </c>
      <c r="P2" s="22" t="s">
        <v>62</v>
      </c>
      <c r="Q2" s="22" t="s">
        <v>63</v>
      </c>
      <c r="R2" s="22" t="s">
        <v>54</v>
      </c>
    </row>
    <row r="3" customFormat="false" ht="16.25" hidden="false" customHeight="false" outlineLevel="0" collapsed="false">
      <c r="A3" s="2" t="s">
        <v>84</v>
      </c>
      <c r="B3" s="2" t="s">
        <v>85</v>
      </c>
      <c r="C3" s="2" t="n">
        <v>2030</v>
      </c>
      <c r="D3" s="11" t="n">
        <v>754</v>
      </c>
      <c r="E3" s="37" t="s">
        <v>86</v>
      </c>
      <c r="F3" s="3" t="s">
        <v>6</v>
      </c>
      <c r="G3" s="38" t="s">
        <v>87</v>
      </c>
      <c r="H3" s="38"/>
      <c r="I3" s="11" t="n">
        <f aca="false">D3*$Q$3*10^3</f>
        <v>663520</v>
      </c>
      <c r="J3" s="2" t="s">
        <v>88</v>
      </c>
      <c r="P3" s="29" t="s">
        <v>70</v>
      </c>
      <c r="Q3" s="30" t="n">
        <v>0.88</v>
      </c>
      <c r="R3" s="4" t="s">
        <v>65</v>
      </c>
    </row>
    <row r="4" customFormat="false" ht="28.45" hidden="false" customHeight="true" outlineLevel="0" collapsed="false">
      <c r="A4" s="41" t="s">
        <v>84</v>
      </c>
      <c r="B4" s="41" t="s">
        <v>89</v>
      </c>
      <c r="C4" s="41" t="n">
        <v>2025</v>
      </c>
      <c r="D4" s="42" t="n">
        <v>676.5703</v>
      </c>
      <c r="E4" s="43" t="s">
        <v>86</v>
      </c>
      <c r="F4" s="44" t="s">
        <v>16</v>
      </c>
      <c r="G4" s="45" t="s">
        <v>90</v>
      </c>
      <c r="H4" s="45" t="s">
        <v>91</v>
      </c>
      <c r="I4" s="46" t="n">
        <f aca="false">D4*10^3</f>
        <v>676570.3</v>
      </c>
      <c r="J4" s="41" t="s">
        <v>88</v>
      </c>
      <c r="P4" s="29" t="s">
        <v>92</v>
      </c>
      <c r="Q4" s="30" t="n">
        <v>1.06</v>
      </c>
      <c r="R4" s="4" t="s">
        <v>65</v>
      </c>
    </row>
    <row r="5" customFormat="false" ht="31.2" hidden="false" customHeight="false" outlineLevel="0" collapsed="false">
      <c r="A5" s="2" t="s">
        <v>84</v>
      </c>
      <c r="B5" s="2" t="s">
        <v>93</v>
      </c>
      <c r="C5" s="2" t="n">
        <v>2025</v>
      </c>
      <c r="D5" s="11" t="n">
        <v>473.1156</v>
      </c>
      <c r="E5" s="37" t="s">
        <v>86</v>
      </c>
      <c r="F5" s="3" t="s">
        <v>16</v>
      </c>
      <c r="G5" s="45" t="s">
        <v>90</v>
      </c>
      <c r="H5" s="38"/>
      <c r="I5" s="11" t="n">
        <f aca="false">D5*10^3</f>
        <v>473115.6</v>
      </c>
      <c r="J5" s="2" t="s">
        <v>88</v>
      </c>
      <c r="P5" s="29" t="s">
        <v>94</v>
      </c>
      <c r="Q5" s="30" t="n">
        <v>1.14</v>
      </c>
      <c r="R5" s="4" t="s">
        <v>65</v>
      </c>
    </row>
    <row r="6" customFormat="false" ht="16.25" hidden="false" customHeight="false" outlineLevel="0" collapsed="false">
      <c r="A6" s="2" t="s">
        <v>95</v>
      </c>
      <c r="B6" s="2" t="s">
        <v>96</v>
      </c>
      <c r="C6" s="2" t="n">
        <v>2020</v>
      </c>
      <c r="D6" s="11" t="n">
        <v>1462</v>
      </c>
      <c r="E6" s="37" t="s">
        <v>86</v>
      </c>
      <c r="F6" s="3" t="s">
        <v>6</v>
      </c>
      <c r="G6" s="38" t="s">
        <v>87</v>
      </c>
      <c r="H6" s="38"/>
      <c r="I6" s="11" t="n">
        <f aca="false">D6*$Q$3*10^3</f>
        <v>1286560</v>
      </c>
      <c r="J6" s="2" t="s">
        <v>88</v>
      </c>
      <c r="P6" s="29" t="s">
        <v>97</v>
      </c>
      <c r="Q6" s="30" t="n">
        <v>0.82</v>
      </c>
      <c r="R6" s="4" t="s">
        <v>65</v>
      </c>
    </row>
    <row r="7" customFormat="false" ht="16.25" hidden="false" customHeight="false" outlineLevel="0" collapsed="false">
      <c r="A7" s="2" t="s">
        <v>95</v>
      </c>
      <c r="B7" s="2" t="s">
        <v>96</v>
      </c>
      <c r="C7" s="2" t="n">
        <v>2030</v>
      </c>
      <c r="D7" s="11" t="n">
        <v>956</v>
      </c>
      <c r="E7" s="37" t="s">
        <v>86</v>
      </c>
      <c r="F7" s="3" t="s">
        <v>6</v>
      </c>
      <c r="G7" s="38" t="s">
        <v>87</v>
      </c>
      <c r="H7" s="38"/>
      <c r="I7" s="11" t="n">
        <f aca="false">D7*$Q$3*10^3</f>
        <v>841280</v>
      </c>
      <c r="J7" s="2" t="s">
        <v>88</v>
      </c>
      <c r="P7" s="29" t="s">
        <v>98</v>
      </c>
      <c r="Q7" s="30" t="n">
        <v>1.02</v>
      </c>
      <c r="R7" s="4" t="s">
        <v>65</v>
      </c>
    </row>
    <row r="8" customFormat="false" ht="23.05" hidden="false" customHeight="true" outlineLevel="0" collapsed="false">
      <c r="A8" s="41" t="s">
        <v>95</v>
      </c>
      <c r="B8" s="41" t="s">
        <v>96</v>
      </c>
      <c r="C8" s="41" t="n">
        <v>2025</v>
      </c>
      <c r="D8" s="46" t="n">
        <v>1139.8826</v>
      </c>
      <c r="E8" s="43" t="s">
        <v>99</v>
      </c>
      <c r="F8" s="44" t="s">
        <v>16</v>
      </c>
      <c r="G8" s="45" t="s">
        <v>90</v>
      </c>
      <c r="H8" s="47"/>
      <c r="I8" s="46" t="n">
        <f aca="false">D8*$Q$4*10^3</f>
        <v>1208275.556</v>
      </c>
      <c r="J8" s="41" t="s">
        <v>88</v>
      </c>
      <c r="P8" s="29" t="s">
        <v>100</v>
      </c>
      <c r="Q8" s="31" t="n">
        <f aca="false">1/1.145</f>
        <v>0.873362445414847</v>
      </c>
      <c r="R8" s="4" t="s">
        <v>101</v>
      </c>
    </row>
    <row r="9" customFormat="false" ht="16.25" hidden="false" customHeight="false" outlineLevel="0" collapsed="false">
      <c r="A9" s="2" t="s">
        <v>95</v>
      </c>
      <c r="B9" s="2" t="s">
        <v>102</v>
      </c>
      <c r="C9" s="2" t="n">
        <v>2020</v>
      </c>
      <c r="D9" s="11" t="n">
        <v>3739</v>
      </c>
      <c r="E9" s="37" t="s">
        <v>86</v>
      </c>
      <c r="F9" s="3" t="s">
        <v>6</v>
      </c>
      <c r="G9" s="38" t="s">
        <v>87</v>
      </c>
      <c r="H9" s="38"/>
      <c r="I9" s="11" t="n">
        <f aca="false">D9*$Q$3*10^3</f>
        <v>3290320</v>
      </c>
      <c r="J9" s="2" t="s">
        <v>88</v>
      </c>
      <c r="P9" s="29"/>
    </row>
    <row r="10" customFormat="false" ht="16.25" hidden="false" customHeight="false" outlineLevel="0" collapsed="false">
      <c r="A10" s="2" t="s">
        <v>95</v>
      </c>
      <c r="B10" s="2" t="s">
        <v>102</v>
      </c>
      <c r="C10" s="2" t="n">
        <v>2030</v>
      </c>
      <c r="D10" s="11" t="n">
        <v>2758</v>
      </c>
      <c r="E10" s="37" t="s">
        <v>86</v>
      </c>
      <c r="F10" s="3" t="s">
        <v>6</v>
      </c>
      <c r="G10" s="38" t="s">
        <v>87</v>
      </c>
      <c r="H10" s="38"/>
      <c r="I10" s="11" t="n">
        <f aca="false">D10*$Q$3*10^3</f>
        <v>2427040</v>
      </c>
      <c r="J10" s="2" t="s">
        <v>88</v>
      </c>
    </row>
    <row r="11" customFormat="false" ht="31.2" hidden="false" customHeight="false" outlineLevel="0" collapsed="false">
      <c r="A11" s="15" t="s">
        <v>95</v>
      </c>
      <c r="B11" s="15" t="s">
        <v>102</v>
      </c>
      <c r="C11" s="15" t="n">
        <v>2025</v>
      </c>
      <c r="D11" s="48" t="n">
        <v>1769.1171</v>
      </c>
      <c r="E11" s="37" t="s">
        <v>86</v>
      </c>
      <c r="F11" s="49" t="s">
        <v>16</v>
      </c>
      <c r="G11" s="50" t="s">
        <v>90</v>
      </c>
      <c r="H11" s="51"/>
      <c r="I11" s="11" t="n">
        <f aca="false">D11*10^3</f>
        <v>1769117.1</v>
      </c>
      <c r="J11" s="2" t="s">
        <v>88</v>
      </c>
    </row>
    <row r="12" customFormat="false" ht="16.25" hidden="false" customHeight="false" outlineLevel="0" collapsed="false">
      <c r="A12" s="2" t="s">
        <v>95</v>
      </c>
      <c r="B12" s="2" t="s">
        <v>103</v>
      </c>
      <c r="C12" s="2" t="n">
        <v>2020</v>
      </c>
      <c r="D12" s="11" t="n">
        <v>4049</v>
      </c>
      <c r="E12" s="37" t="s">
        <v>86</v>
      </c>
      <c r="F12" s="3" t="s">
        <v>6</v>
      </c>
      <c r="G12" s="38" t="s">
        <v>87</v>
      </c>
      <c r="H12" s="38"/>
      <c r="I12" s="11" t="n">
        <f aca="false">D12*$Q$3*10^3</f>
        <v>3563120</v>
      </c>
      <c r="J12" s="2" t="s">
        <v>88</v>
      </c>
    </row>
    <row r="13" customFormat="false" ht="16.25" hidden="false" customHeight="false" outlineLevel="0" collapsed="false">
      <c r="A13" s="2" t="s">
        <v>95</v>
      </c>
      <c r="B13" s="2" t="s">
        <v>103</v>
      </c>
      <c r="C13" s="2" t="n">
        <v>2030</v>
      </c>
      <c r="D13" s="11" t="n">
        <v>3467</v>
      </c>
      <c r="E13" s="37" t="s">
        <v>86</v>
      </c>
      <c r="F13" s="3" t="s">
        <v>6</v>
      </c>
      <c r="G13" s="38" t="s">
        <v>87</v>
      </c>
      <c r="H13" s="38"/>
      <c r="I13" s="11" t="n">
        <f aca="false">D13*$Q$3*10^3</f>
        <v>3050960</v>
      </c>
      <c r="J13" s="2" t="s">
        <v>88</v>
      </c>
    </row>
    <row r="14" customFormat="false" ht="16.25" hidden="false" customHeight="false" outlineLevel="0" collapsed="false">
      <c r="A14" s="2" t="s">
        <v>104</v>
      </c>
      <c r="B14" s="2" t="s">
        <v>105</v>
      </c>
      <c r="C14" s="2" t="n">
        <v>2035</v>
      </c>
      <c r="D14" s="11" t="n">
        <v>6160</v>
      </c>
      <c r="E14" s="37" t="s">
        <v>86</v>
      </c>
      <c r="F14" s="3" t="s">
        <v>6</v>
      </c>
      <c r="G14" s="38" t="s">
        <v>87</v>
      </c>
      <c r="H14" s="52" t="s">
        <v>106</v>
      </c>
      <c r="I14" s="11" t="n">
        <f aca="false">D14*$Q$3*10^3</f>
        <v>5420800</v>
      </c>
      <c r="J14" s="2" t="s">
        <v>88</v>
      </c>
    </row>
    <row r="15" customFormat="false" ht="16.25" hidden="false" customHeight="false" outlineLevel="0" collapsed="false">
      <c r="A15" s="2" t="s">
        <v>104</v>
      </c>
      <c r="B15" s="2" t="s">
        <v>105</v>
      </c>
      <c r="C15" s="2" t="n">
        <v>2050</v>
      </c>
      <c r="D15" s="11" t="n">
        <v>5500</v>
      </c>
      <c r="E15" s="37" t="s">
        <v>86</v>
      </c>
      <c r="F15" s="3" t="s">
        <v>6</v>
      </c>
      <c r="G15" s="38" t="s">
        <v>87</v>
      </c>
      <c r="H15" s="52" t="s">
        <v>106</v>
      </c>
      <c r="I15" s="11" t="n">
        <f aca="false">D15*$Q$3*10^3</f>
        <v>4840000</v>
      </c>
      <c r="J15" s="2" t="s">
        <v>88</v>
      </c>
    </row>
    <row r="16" customFormat="false" ht="16.25" hidden="false" customHeight="false" outlineLevel="0" collapsed="false">
      <c r="A16" s="2" t="s">
        <v>104</v>
      </c>
      <c r="B16" s="2" t="s">
        <v>107</v>
      </c>
      <c r="C16" s="2" t="n">
        <v>2035</v>
      </c>
      <c r="D16" s="11" t="n">
        <v>6820</v>
      </c>
      <c r="E16" s="37" t="s">
        <v>86</v>
      </c>
      <c r="F16" s="3" t="s">
        <v>6</v>
      </c>
      <c r="G16" s="38" t="s">
        <v>87</v>
      </c>
      <c r="H16" s="52" t="s">
        <v>106</v>
      </c>
      <c r="I16" s="11" t="n">
        <f aca="false">D16*$Q$3*10^3</f>
        <v>6001600</v>
      </c>
      <c r="J16" s="2" t="s">
        <v>88</v>
      </c>
    </row>
    <row r="17" customFormat="false" ht="16.25" hidden="false" customHeight="false" outlineLevel="0" collapsed="false">
      <c r="A17" s="2" t="s">
        <v>104</v>
      </c>
      <c r="B17" s="2" t="s">
        <v>107</v>
      </c>
      <c r="C17" s="2" t="n">
        <v>2050</v>
      </c>
      <c r="D17" s="11" t="n">
        <v>6050</v>
      </c>
      <c r="E17" s="37" t="s">
        <v>86</v>
      </c>
      <c r="F17" s="3" t="s">
        <v>6</v>
      </c>
      <c r="G17" s="38" t="s">
        <v>87</v>
      </c>
      <c r="H17" s="52" t="s">
        <v>106</v>
      </c>
      <c r="I17" s="11" t="n">
        <f aca="false">D17*$Q$3*10^3</f>
        <v>5324000</v>
      </c>
      <c r="J17" s="2" t="s">
        <v>88</v>
      </c>
    </row>
    <row r="18" customFormat="false" ht="31.2" hidden="false" customHeight="false" outlineLevel="0" collapsed="false">
      <c r="A18" s="41" t="s">
        <v>108</v>
      </c>
      <c r="B18" s="41"/>
      <c r="C18" s="41" t="n">
        <v>2025</v>
      </c>
      <c r="D18" s="46" t="n">
        <v>2274.8177</v>
      </c>
      <c r="E18" s="43" t="s">
        <v>109</v>
      </c>
      <c r="F18" s="44" t="s">
        <v>16</v>
      </c>
      <c r="G18" s="45" t="s">
        <v>90</v>
      </c>
      <c r="H18" s="53"/>
      <c r="I18" s="46" t="n">
        <f aca="false">D18*$Q$5*10^3</f>
        <v>2593292.178</v>
      </c>
      <c r="J18" s="41" t="s">
        <v>88</v>
      </c>
    </row>
    <row r="19" customFormat="false" ht="31.2" hidden="false" customHeight="false" outlineLevel="0" collapsed="false">
      <c r="A19" s="41" t="s">
        <v>110</v>
      </c>
      <c r="B19" s="41"/>
      <c r="C19" s="41" t="n">
        <v>2025</v>
      </c>
      <c r="D19" s="46" t="n">
        <v>57074.0625</v>
      </c>
      <c r="E19" s="43" t="s">
        <v>111</v>
      </c>
      <c r="F19" s="44" t="s">
        <v>16</v>
      </c>
      <c r="G19" s="45" t="s">
        <v>90</v>
      </c>
      <c r="H19" s="53"/>
      <c r="I19" s="46" t="n">
        <f aca="false">D19*$Q$4</f>
        <v>60498.50625</v>
      </c>
      <c r="J19" s="41" t="s">
        <v>61</v>
      </c>
    </row>
    <row r="20" customFormat="false" ht="16.25" hidden="false" customHeight="false" outlineLevel="0" collapsed="false">
      <c r="A20" s="2" t="s">
        <v>112</v>
      </c>
      <c r="B20" s="2" t="s">
        <v>113</v>
      </c>
      <c r="C20" s="2" t="n">
        <v>2020</v>
      </c>
      <c r="D20" s="11" t="n">
        <v>3075</v>
      </c>
      <c r="E20" s="37" t="s">
        <v>86</v>
      </c>
      <c r="F20" s="3" t="s">
        <v>6</v>
      </c>
      <c r="G20" s="38" t="s">
        <v>87</v>
      </c>
      <c r="H20" s="52"/>
      <c r="I20" s="11" t="n">
        <f aca="false">D20*$Q$3*10^3</f>
        <v>2706000</v>
      </c>
      <c r="J20" s="2" t="s">
        <v>88</v>
      </c>
    </row>
    <row r="21" customFormat="false" ht="16.25" hidden="false" customHeight="false" outlineLevel="0" collapsed="false">
      <c r="A21" s="2" t="s">
        <v>112</v>
      </c>
      <c r="B21" s="2" t="s">
        <v>113</v>
      </c>
      <c r="C21" s="2" t="n">
        <v>2030</v>
      </c>
      <c r="D21" s="11" t="n">
        <v>2240</v>
      </c>
      <c r="E21" s="37" t="s">
        <v>86</v>
      </c>
      <c r="F21" s="3" t="s">
        <v>6</v>
      </c>
      <c r="G21" s="38" t="s">
        <v>87</v>
      </c>
      <c r="H21" s="52"/>
      <c r="I21" s="11" t="n">
        <f aca="false">D21*$Q$3*10^3</f>
        <v>1971200</v>
      </c>
      <c r="J21" s="2" t="s">
        <v>88</v>
      </c>
    </row>
    <row r="22" customFormat="false" ht="31.2" hidden="false" customHeight="false" outlineLevel="0" collapsed="false">
      <c r="A22" s="41" t="s">
        <v>112</v>
      </c>
      <c r="B22" s="41"/>
      <c r="C22" s="41" t="n">
        <v>2025</v>
      </c>
      <c r="D22" s="46" t="n">
        <v>1989.708</v>
      </c>
      <c r="E22" s="43" t="s">
        <v>114</v>
      </c>
      <c r="F22" s="44" t="s">
        <v>16</v>
      </c>
      <c r="G22" s="45" t="s">
        <v>90</v>
      </c>
      <c r="H22" s="53"/>
      <c r="I22" s="46" t="n">
        <f aca="false">D22*$Q$4*10^3</f>
        <v>2109090.48</v>
      </c>
      <c r="J22" s="41" t="s">
        <v>88</v>
      </c>
    </row>
    <row r="23" customFormat="false" ht="16.25" hidden="false" customHeight="false" outlineLevel="0" collapsed="false">
      <c r="A23" s="2" t="s">
        <v>115</v>
      </c>
      <c r="B23" s="2" t="s">
        <v>116</v>
      </c>
      <c r="C23" s="2" t="n">
        <v>2020</v>
      </c>
      <c r="D23" s="11" t="n">
        <v>1038</v>
      </c>
      <c r="E23" s="37" t="s">
        <v>86</v>
      </c>
      <c r="F23" s="3" t="s">
        <v>6</v>
      </c>
      <c r="G23" s="38" t="s">
        <v>87</v>
      </c>
      <c r="H23" s="52"/>
      <c r="I23" s="11" t="n">
        <f aca="false">D23*$Q$3*10^3</f>
        <v>913440</v>
      </c>
      <c r="J23" s="2" t="s">
        <v>88</v>
      </c>
    </row>
    <row r="24" customFormat="false" ht="16.25" hidden="false" customHeight="false" outlineLevel="0" collapsed="false">
      <c r="A24" s="2" t="s">
        <v>115</v>
      </c>
      <c r="B24" s="2" t="s">
        <v>116</v>
      </c>
      <c r="C24" s="2" t="n">
        <v>2030</v>
      </c>
      <c r="D24" s="11" t="n">
        <v>838</v>
      </c>
      <c r="E24" s="37" t="s">
        <v>86</v>
      </c>
      <c r="F24" s="3" t="s">
        <v>6</v>
      </c>
      <c r="G24" s="38" t="s">
        <v>87</v>
      </c>
      <c r="H24" s="52"/>
      <c r="I24" s="11" t="n">
        <f aca="false">D24*$Q$3*10^3</f>
        <v>737440</v>
      </c>
      <c r="J24" s="2" t="s">
        <v>88</v>
      </c>
    </row>
    <row r="25" customFormat="false" ht="31.2" hidden="false" customHeight="false" outlineLevel="0" collapsed="false">
      <c r="A25" s="41" t="s">
        <v>115</v>
      </c>
      <c r="B25" s="41" t="s">
        <v>117</v>
      </c>
      <c r="C25" s="41" t="n">
        <v>2025</v>
      </c>
      <c r="D25" s="46" t="n">
        <v>608.4774</v>
      </c>
      <c r="E25" s="43" t="s">
        <v>114</v>
      </c>
      <c r="F25" s="44" t="s">
        <v>16</v>
      </c>
      <c r="G25" s="45" t="s">
        <v>90</v>
      </c>
      <c r="H25" s="53"/>
      <c r="I25" s="46" t="n">
        <f aca="false">D25*$Q$4*10^3</f>
        <v>644986.044</v>
      </c>
      <c r="J25" s="41" t="s">
        <v>88</v>
      </c>
    </row>
    <row r="26" customFormat="false" ht="16.25" hidden="false" customHeight="false" outlineLevel="0" collapsed="false">
      <c r="A26" s="54" t="s">
        <v>104</v>
      </c>
      <c r="B26" s="54" t="s">
        <v>118</v>
      </c>
      <c r="C26" s="54" t="n">
        <v>2025</v>
      </c>
      <c r="D26" s="55" t="n">
        <v>5350</v>
      </c>
      <c r="E26" s="56" t="s">
        <v>119</v>
      </c>
      <c r="F26" s="57" t="s">
        <v>120</v>
      </c>
      <c r="G26" s="58" t="s">
        <v>121</v>
      </c>
      <c r="H26" s="59" t="s">
        <v>122</v>
      </c>
      <c r="I26" s="55" t="n">
        <f aca="false">D26*$Q$3*10^3*0.67</f>
        <v>3154360</v>
      </c>
      <c r="J26" s="54" t="s">
        <v>88</v>
      </c>
    </row>
    <row r="27" customFormat="false" ht="16.25" hidden="false" customHeight="false" outlineLevel="0" collapsed="false">
      <c r="A27" s="2" t="s">
        <v>123</v>
      </c>
      <c r="B27" s="2" t="s">
        <v>124</v>
      </c>
      <c r="C27" s="2" t="n">
        <v>2020</v>
      </c>
      <c r="D27" s="60" t="n">
        <v>988.321700156956</v>
      </c>
      <c r="E27" s="37" t="s">
        <v>86</v>
      </c>
      <c r="F27" s="3" t="s">
        <v>6</v>
      </c>
      <c r="G27" s="38" t="s">
        <v>87</v>
      </c>
      <c r="H27" s="38" t="s">
        <v>125</v>
      </c>
      <c r="I27" s="11" t="n">
        <f aca="false">D27*$Q$3*10^3</f>
        <v>869723.096138121</v>
      </c>
      <c r="J27" s="2" t="s">
        <v>88</v>
      </c>
      <c r="R27" s="22"/>
      <c r="S27" s="3"/>
      <c r="T27" s="3"/>
    </row>
    <row r="28" customFormat="false" ht="16.25" hidden="false" customHeight="false" outlineLevel="0" collapsed="false">
      <c r="A28" s="2" t="s">
        <v>123</v>
      </c>
      <c r="B28" s="2" t="s">
        <v>124</v>
      </c>
      <c r="C28" s="2" t="n">
        <v>2030</v>
      </c>
      <c r="D28" s="60" t="n">
        <v>681.622479569913</v>
      </c>
      <c r="E28" s="37" t="s">
        <v>86</v>
      </c>
      <c r="F28" s="3" t="s">
        <v>6</v>
      </c>
      <c r="G28" s="38" t="s">
        <v>87</v>
      </c>
      <c r="H28" s="38" t="s">
        <v>125</v>
      </c>
      <c r="I28" s="11" t="n">
        <f aca="false">D28*$Q$3*10^3</f>
        <v>599827.782021523</v>
      </c>
      <c r="J28" s="2" t="s">
        <v>88</v>
      </c>
      <c r="R28" s="22"/>
      <c r="S28" s="23"/>
      <c r="T28" s="23"/>
    </row>
    <row r="29" customFormat="false" ht="16.25" hidden="false" customHeight="false" outlineLevel="0" collapsed="false">
      <c r="A29" s="2" t="s">
        <v>123</v>
      </c>
      <c r="B29" s="2" t="s">
        <v>124</v>
      </c>
      <c r="C29" s="2" t="n">
        <v>2050</v>
      </c>
      <c r="D29" s="61" t="n">
        <v>681.622479569913</v>
      </c>
      <c r="E29" s="37" t="s">
        <v>86</v>
      </c>
      <c r="F29" s="3" t="s">
        <v>6</v>
      </c>
      <c r="G29" s="38" t="s">
        <v>87</v>
      </c>
      <c r="H29" s="38" t="s">
        <v>125</v>
      </c>
      <c r="I29" s="11" t="n">
        <f aca="false">D29*$Q$3*10^3</f>
        <v>599827.782021523</v>
      </c>
      <c r="J29" s="2" t="s">
        <v>88</v>
      </c>
      <c r="R29" s="22"/>
      <c r="S29" s="33"/>
      <c r="T29" s="33"/>
    </row>
    <row r="30" customFormat="false" ht="16.25" hidden="false" customHeight="false" outlineLevel="0" collapsed="false">
      <c r="A30" s="2" t="s">
        <v>123</v>
      </c>
      <c r="B30" s="2" t="s">
        <v>126</v>
      </c>
      <c r="C30" s="2" t="n">
        <v>2020</v>
      </c>
      <c r="D30" s="60" t="n">
        <v>1727.23444480956</v>
      </c>
      <c r="E30" s="37" t="s">
        <v>86</v>
      </c>
      <c r="F30" s="3" t="s">
        <v>6</v>
      </c>
      <c r="G30" s="38" t="s">
        <v>87</v>
      </c>
      <c r="H30" s="38" t="s">
        <v>127</v>
      </c>
      <c r="I30" s="11" t="n">
        <f aca="false">D30*$Q$3*10^3</f>
        <v>1519966.31143242</v>
      </c>
      <c r="J30" s="2" t="s">
        <v>88</v>
      </c>
      <c r="S30" s="28"/>
      <c r="T30" s="14"/>
    </row>
    <row r="31" customFormat="false" ht="16.25" hidden="false" customHeight="false" outlineLevel="0" collapsed="false">
      <c r="A31" s="2" t="s">
        <v>123</v>
      </c>
      <c r="B31" s="2" t="s">
        <v>126</v>
      </c>
      <c r="C31" s="2" t="n">
        <v>2030</v>
      </c>
      <c r="D31" s="60" t="n">
        <v>1173.72576283881</v>
      </c>
      <c r="E31" s="37" t="s">
        <v>86</v>
      </c>
      <c r="F31" s="3" t="s">
        <v>6</v>
      </c>
      <c r="G31" s="38" t="s">
        <v>87</v>
      </c>
      <c r="H31" s="38" t="s">
        <v>127</v>
      </c>
      <c r="I31" s="11" t="n">
        <f aca="false">D31*$Q$3*10^3</f>
        <v>1032878.67129815</v>
      </c>
      <c r="J31" s="2" t="s">
        <v>88</v>
      </c>
      <c r="S31" s="28"/>
      <c r="T31" s="14"/>
    </row>
    <row r="32" customFormat="false" ht="16.25" hidden="false" customHeight="false" outlineLevel="0" collapsed="false">
      <c r="A32" s="2" t="s">
        <v>123</v>
      </c>
      <c r="B32" s="2" t="s">
        <v>126</v>
      </c>
      <c r="C32" s="2" t="n">
        <v>2050</v>
      </c>
      <c r="D32" s="61" t="n">
        <v>1173.72576283881</v>
      </c>
      <c r="E32" s="37" t="s">
        <v>86</v>
      </c>
      <c r="F32" s="3" t="s">
        <v>6</v>
      </c>
      <c r="G32" s="38" t="s">
        <v>87</v>
      </c>
      <c r="H32" s="38" t="s">
        <v>127</v>
      </c>
      <c r="I32" s="11" t="n">
        <f aca="false">D32*$Q$3*10^3</f>
        <v>1032878.67129815</v>
      </c>
      <c r="J32" s="2" t="s">
        <v>88</v>
      </c>
    </row>
    <row r="33" customFormat="false" ht="31.2" hidden="false" customHeight="false" outlineLevel="0" collapsed="false">
      <c r="A33" s="41" t="s">
        <v>123</v>
      </c>
      <c r="B33" s="41" t="s">
        <v>128</v>
      </c>
      <c r="C33" s="41" t="n">
        <v>2025</v>
      </c>
      <c r="D33" s="62" t="n">
        <f aca="false">197.8874*2</f>
        <v>395.7748</v>
      </c>
      <c r="E33" s="43" t="s">
        <v>114</v>
      </c>
      <c r="F33" s="44" t="s">
        <v>16</v>
      </c>
      <c r="G33" s="45" t="s">
        <v>90</v>
      </c>
      <c r="H33" s="63" t="s">
        <v>129</v>
      </c>
      <c r="I33" s="46" t="n">
        <f aca="false">D33*$Q$4*10^3</f>
        <v>419521.288</v>
      </c>
      <c r="J33" s="41" t="s">
        <v>88</v>
      </c>
    </row>
    <row r="34" customFormat="false" ht="31.2" hidden="false" customHeight="false" outlineLevel="0" collapsed="false">
      <c r="A34" s="41" t="s">
        <v>123</v>
      </c>
      <c r="B34" s="41" t="s">
        <v>130</v>
      </c>
      <c r="C34" s="41" t="n">
        <v>2025</v>
      </c>
      <c r="D34" s="46" t="n">
        <f aca="false">280.1877*2</f>
        <v>560.3754</v>
      </c>
      <c r="E34" s="43" t="s">
        <v>114</v>
      </c>
      <c r="F34" s="44" t="s">
        <v>16</v>
      </c>
      <c r="G34" s="45" t="s">
        <v>90</v>
      </c>
      <c r="H34" s="63" t="s">
        <v>129</v>
      </c>
      <c r="I34" s="46" t="n">
        <f aca="false">D34*$Q$4*10^3</f>
        <v>593997.924</v>
      </c>
      <c r="J34" s="41" t="s">
        <v>88</v>
      </c>
    </row>
    <row r="35" customFormat="false" ht="16.25" hidden="false" customHeight="false" outlineLevel="0" collapsed="false">
      <c r="A35" s="2" t="s">
        <v>104</v>
      </c>
      <c r="B35" s="2" t="s">
        <v>118</v>
      </c>
      <c r="C35" s="2" t="n">
        <v>2020</v>
      </c>
      <c r="D35" s="11" t="n">
        <v>4013</v>
      </c>
      <c r="E35" s="37" t="s">
        <v>131</v>
      </c>
      <c r="F35" s="3" t="s">
        <v>120</v>
      </c>
      <c r="G35" s="2" t="s">
        <v>132</v>
      </c>
      <c r="H35" s="2"/>
      <c r="I35" s="11" t="n">
        <f aca="false">D35*Q8*Q7</f>
        <v>3574.89956331878</v>
      </c>
      <c r="J35" s="54" t="s">
        <v>88</v>
      </c>
    </row>
    <row r="36" customFormat="false" ht="16.25" hidden="false" customHeight="false" outlineLevel="0" collapsed="false">
      <c r="A36" s="2" t="s">
        <v>104</v>
      </c>
      <c r="B36" s="2" t="s">
        <v>118</v>
      </c>
      <c r="C36" s="2" t="n">
        <v>2024</v>
      </c>
      <c r="D36" s="11" t="n">
        <v>10000</v>
      </c>
      <c r="E36" s="37" t="s">
        <v>133</v>
      </c>
      <c r="F36" s="3" t="s">
        <v>134</v>
      </c>
      <c r="G36" s="2" t="s">
        <v>135</v>
      </c>
      <c r="H36" s="2"/>
      <c r="I36" s="2" t="n">
        <f aca="false">D36*Q6</f>
        <v>8200</v>
      </c>
      <c r="J36" s="54" t="s">
        <v>88</v>
      </c>
    </row>
    <row r="37" customFormat="false" ht="15" hidden="false" customHeight="false" outlineLevel="0" collapsed="false">
      <c r="A37" s="41" t="s">
        <v>104</v>
      </c>
      <c r="B37" s="2" t="s">
        <v>118</v>
      </c>
      <c r="C37" s="2"/>
      <c r="D37" s="46"/>
      <c r="E37" s="43"/>
      <c r="F37" s="44"/>
      <c r="G37" s="45"/>
      <c r="H37" s="63" t="s">
        <v>24</v>
      </c>
      <c r="I37" s="46" t="n">
        <f aca="false">AVERAGE(I35:I36)</f>
        <v>5887.44978165939</v>
      </c>
      <c r="J37" s="41" t="s">
        <v>88</v>
      </c>
    </row>
    <row r="38" customFormat="false" ht="15" hidden="false" customHeight="false" outlineLevel="0" collapsed="false">
      <c r="A38" s="2"/>
      <c r="B38" s="2"/>
      <c r="C38" s="2"/>
      <c r="D38" s="16"/>
      <c r="E38" s="37"/>
      <c r="F38" s="2"/>
      <c r="G38" s="2"/>
      <c r="H38" s="2"/>
      <c r="I38" s="2"/>
      <c r="J38" s="2"/>
    </row>
    <row r="39" customFormat="false" ht="15" hidden="false" customHeight="false" outlineLevel="0" collapsed="false">
      <c r="A39" s="2"/>
      <c r="B39" s="2"/>
      <c r="C39" s="2"/>
      <c r="D39" s="16"/>
      <c r="E39" s="37"/>
      <c r="F39" s="2"/>
      <c r="G39" s="2"/>
      <c r="H39" s="2"/>
      <c r="I39" s="2"/>
      <c r="J39" s="2"/>
    </row>
    <row r="40" customFormat="false" ht="15" hidden="false" customHeight="false" outlineLevel="0" collapsed="false">
      <c r="A40" s="2"/>
      <c r="B40" s="2"/>
      <c r="C40" s="2"/>
      <c r="D40" s="16"/>
      <c r="E40" s="37"/>
      <c r="F40" s="2"/>
      <c r="G40" s="2"/>
      <c r="H40" s="2"/>
      <c r="I40" s="2"/>
      <c r="J40" s="2"/>
    </row>
    <row r="41" customFormat="false" ht="15" hidden="false" customHeight="false" outlineLevel="0" collapsed="false">
      <c r="A41" s="2"/>
      <c r="B41" s="2"/>
      <c r="C41" s="2"/>
      <c r="D41" s="16"/>
      <c r="E41" s="37"/>
      <c r="F41" s="2"/>
      <c r="G41" s="2"/>
      <c r="H41" s="2"/>
      <c r="I41" s="2"/>
      <c r="J41" s="2"/>
    </row>
  </sheetData>
  <hyperlinks>
    <hyperlink ref="F2" r:id="rId1" display="TEMOA-Italy"/>
    <hyperlink ref="G2" r:id="rId2" display="Dati elaborati da NREL"/>
    <hyperlink ref="F3" r:id="rId3" display="TEMOA-Italy"/>
    <hyperlink ref="G3" r:id="rId4" display="Dati elaborati da NREL"/>
    <hyperlink ref="R3" r:id="rId5" display="Harmonised Index of Consumer Prices (HICP)"/>
    <hyperlink ref="F4" r:id="rId6" display="PyPSA/technology-data"/>
    <hyperlink ref="R4" r:id="rId7" display="Harmonised Index of Consumer Prices (HICP)"/>
    <hyperlink ref="F5" r:id="rId8" display="PyPSA/technology-data"/>
    <hyperlink ref="R5" r:id="rId9" display="Harmonised Index of Consumer Prices (HICP)"/>
    <hyperlink ref="F6" r:id="rId10" display="TEMOA-Italy"/>
    <hyperlink ref="G6" r:id="rId11" display="Dati elaborati da NREL"/>
    <hyperlink ref="R6" r:id="rId12" display="Harmonised Index of Consumer Prices (HICP)"/>
    <hyperlink ref="F7" r:id="rId13" display="TEMOA-Italy"/>
    <hyperlink ref="G7" r:id="rId14" display="Dati elaborati da NREL"/>
    <hyperlink ref="R7" r:id="rId15" display="Harmonised Index of Consumer Prices (HICP)"/>
    <hyperlink ref="F8" r:id="rId16" display="PyPSA/technology-data"/>
    <hyperlink ref="R8" r:id="rId17" display="Banca d’Italia"/>
    <hyperlink ref="F9" r:id="rId18" display="TEMOA-Italy"/>
    <hyperlink ref="G9" r:id="rId19" display="Dati elaborati da NREL"/>
    <hyperlink ref="F10" r:id="rId20" display="TEMOA-Italy"/>
    <hyperlink ref="G10" r:id="rId21" display="Dati elaborati da NREL"/>
    <hyperlink ref="F11" r:id="rId22" display="PyPSA/technology-data"/>
    <hyperlink ref="F12" r:id="rId23" display="TEMOA-Italy"/>
    <hyperlink ref="G12" r:id="rId24" display="Dati elaborati da NREL"/>
    <hyperlink ref="F13" r:id="rId25" display="TEMOA-Italy"/>
    <hyperlink ref="G13" r:id="rId26" display="Dati elaborati da NREL"/>
    <hyperlink ref="F14" r:id="rId27" display="TEMOA-Italy"/>
    <hyperlink ref="G14" r:id="rId28" display="Dati elaborati da NREL"/>
    <hyperlink ref="F15" r:id="rId29" display="TEMOA-Italy"/>
    <hyperlink ref="G15" r:id="rId30" display="Dati elaborati da NREL"/>
    <hyperlink ref="F16" r:id="rId31" display="TEMOA-Italy"/>
    <hyperlink ref="G16" r:id="rId32" display="Dati elaborati da NREL"/>
    <hyperlink ref="F17" r:id="rId33" display="TEMOA-Italy"/>
    <hyperlink ref="G17" r:id="rId34" display="Dati elaborati da NREL"/>
    <hyperlink ref="F18" r:id="rId35" display="PyPSA/technology-data"/>
    <hyperlink ref="F19" r:id="rId36" display="PyPSA/technology-data"/>
    <hyperlink ref="F20" r:id="rId37" display="TEMOA-Italy"/>
    <hyperlink ref="G20" r:id="rId38" display="Dati elaborati da NREL"/>
    <hyperlink ref="F21" r:id="rId39" display="TEMOA-Italy"/>
    <hyperlink ref="G21" r:id="rId40" display="Dati elaborati da NREL"/>
    <hyperlink ref="F22" r:id="rId41" display="PyPSA/technology-data"/>
    <hyperlink ref="F23" r:id="rId42" display="TEMOA-Italy"/>
    <hyperlink ref="G23" r:id="rId43" display="Dati elaborati da NREL"/>
    <hyperlink ref="F24" r:id="rId44" display="TEMOA-Italy"/>
    <hyperlink ref="G24" r:id="rId45" display="Dati elaborati da NREL"/>
    <hyperlink ref="F25" r:id="rId46" display="PyPSA/technology-data"/>
    <hyperlink ref="F26" r:id="rId47" display="IAEA"/>
    <hyperlink ref="H26" r:id="rId48" display="Overnight cost suggerito da Lorenzo Mazzocco, portato dal 2020 al 2025 tramite inflazione di circa il 33% (vedi messaggio discord su Coordinamento energia)"/>
    <hyperlink ref="F27" r:id="rId49" display="TEMOA-Italy"/>
    <hyperlink ref="G27" r:id="rId50" display="Dati elaborati da NREL"/>
    <hyperlink ref="H27" r:id="rId51" display="Due componenti di costo considerate: power capital cost (€/MW) e energy capital cost (€/MWh). Quest'ultimo moltiplicato per uno &quot;storage duration&quot; di 2 ore. Per ulteriori info, vedere questo paper"/>
    <hyperlink ref="F28" r:id="rId52" display="TEMOA-Italy"/>
    <hyperlink ref="G28" r:id="rId53" display="Dati elaborati da NREL"/>
    <hyperlink ref="H28" r:id="rId54" display="Due componenti di costo considerate: power capital cost (€/MW) e energy capital cost (€/MWh). Quest'ultimo moltiplicato per uno &quot;storage duration&quot; di 2 ore. Per ulteriori info, vedere questo paper"/>
    <hyperlink ref="F29" r:id="rId55" display="TEMOA-Italy"/>
    <hyperlink ref="G29" r:id="rId56" display="Dati elaborati da NREL"/>
    <hyperlink ref="H29" r:id="rId57" display="Due componenti di costo considerate: power capital cost (€/MW) e energy capital cost (€/MWh). Quest'ultimo moltiplicato per uno &quot;storage duration&quot; di 2 ore. Per ulteriori info, vedere questo paper"/>
    <hyperlink ref="F30" r:id="rId58" display="TEMOA-Italy"/>
    <hyperlink ref="G30" r:id="rId59" display="Dati elaborati da NREL"/>
    <hyperlink ref="H30" r:id="rId60" display="Due componenti di costo considerate: power capital cost (€/MW) e energy capital cost (€/MWh). Quest'ultimo moltiplicato per uno &quot;storage duration&quot; di 4 ore. Per ulteriori info, vedere questo paper"/>
    <hyperlink ref="F31" r:id="rId61" display="TEMOA-Italy"/>
    <hyperlink ref="G31" r:id="rId62" display="Dati elaborati da NREL"/>
    <hyperlink ref="H31" r:id="rId63" display="Due componenti di costo considerate: power capital cost (€/MW) e energy capital cost (€/MWh). Quest'ultimo moltiplicato per uno &quot;storage duration&quot; di 4 ore. Per ulteriori info, vedere questo paper"/>
    <hyperlink ref="F32" r:id="rId64" display="TEMOA-Italy"/>
    <hyperlink ref="G32" r:id="rId65" display="Dati elaborati da NREL"/>
    <hyperlink ref="H32" r:id="rId66" display="Due componenti di costo considerate: power capital cost (€/MW) e energy capital cost (€/MWh). Quest'ultimo moltiplicato per uno &quot;storage duration&quot; di 4 ore. Per ulteriori info, vedere questo paper"/>
    <hyperlink ref="F33" r:id="rId67" display="PyPSA/technology-data"/>
    <hyperlink ref="H33" r:id="rId68" display="Durata dovrebbe essere di 2 h"/>
    <hyperlink ref="F34" r:id="rId69" display="PyPSA/technology-data"/>
    <hyperlink ref="H34" r:id="rId70" display="Durata dovrebbe essere di 2 h"/>
    <hyperlink ref="F35" r:id="rId71" display="IAEA"/>
    <hyperlink ref="F36" r:id="rId72" display="S&amp;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4" activeCellId="0" sqref="F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.14"/>
    <col collapsed="false" customWidth="true" hidden="false" outlineLevel="0" max="3" min="3" style="1" width="15.15"/>
    <col collapsed="false" customWidth="true" hidden="false" outlineLevel="0" max="4" min="4" style="1" width="10.14"/>
    <col collapsed="false" customWidth="true" hidden="false" outlineLevel="0" max="6" min="6" style="1" width="14.57"/>
    <col collapsed="false" customWidth="true" hidden="false" outlineLevel="0" max="7" min="7" style="1" width="19.57"/>
    <col collapsed="false" customWidth="true" hidden="false" outlineLevel="0" max="8" min="8" style="1" width="14.43"/>
  </cols>
  <sheetData>
    <row r="1" customFormat="false" ht="15" hidden="false" customHeight="false" outlineLevel="0" collapsed="false"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</row>
    <row r="2" customFormat="false" ht="15" hidden="false" customHeight="false" outlineLevel="0" collapsed="false">
      <c r="A2" s="1" t="s">
        <v>4</v>
      </c>
      <c r="B2" s="1" t="n">
        <f aca="false">discount_rate!B2</f>
        <v>0.057</v>
      </c>
      <c r="C2" s="14" t="n">
        <f aca="false">CAPEX!B2</f>
        <v>676570.3</v>
      </c>
      <c r="D2" s="19" t="n">
        <f aca="false">OPEX!B2</f>
        <v>0.017275</v>
      </c>
      <c r="E2" s="1" t="n">
        <v>20</v>
      </c>
      <c r="F2" s="1" t="n">
        <v>0.15</v>
      </c>
      <c r="G2" s="5" t="n">
        <f aca="false">PMT(B2,E2,-1)</f>
        <v>0.0850733064256807</v>
      </c>
      <c r="H2" s="19" t="n">
        <f aca="false">C2*(D2+G2)/(8760*F2*1)</f>
        <v>52.6984964862364</v>
      </c>
    </row>
    <row r="3" customFormat="false" ht="15" hidden="false" customHeight="false" outlineLevel="0" collapsed="false">
      <c r="A3" s="1" t="s">
        <v>8</v>
      </c>
      <c r="B3" s="1" t="n">
        <f aca="false">discount_rate!B3</f>
        <v>0.076</v>
      </c>
      <c r="C3" s="14" t="n">
        <f aca="false">CAPEX!B3/1.5</f>
        <v>1208275.556</v>
      </c>
      <c r="D3" s="19" t="n">
        <f aca="false">OPEX!B3</f>
        <v>0.012347</v>
      </c>
      <c r="E3" s="1" t="n">
        <v>25</v>
      </c>
      <c r="F3" s="1" t="n">
        <v>0.25</v>
      </c>
      <c r="G3" s="5" t="n">
        <f aca="false">PMT(B3,E3,-1)</f>
        <v>0.0904989581478276</v>
      </c>
      <c r="H3" s="19" t="n">
        <f aca="false">C3*(D3+G3)/(8760*F3*1)</f>
        <v>56.7425832253055</v>
      </c>
    </row>
    <row r="4" customFormat="false" ht="15" hidden="false" customHeight="false" outlineLevel="0" collapsed="false">
      <c r="A4" s="2" t="s">
        <v>9</v>
      </c>
      <c r="B4" s="19" t="n">
        <f aca="false">discount_rate!B4</f>
        <v>0.045</v>
      </c>
      <c r="C4" s="14" t="n">
        <f aca="false">CAPEX!B4</f>
        <v>5887449.78165939</v>
      </c>
      <c r="D4" s="19" t="n">
        <f aca="false">OPEX!B4</f>
        <v>0.033</v>
      </c>
      <c r="E4" s="1" t="n">
        <v>60</v>
      </c>
      <c r="F4" s="1" t="n">
        <v>0.85</v>
      </c>
      <c r="G4" s="5" t="n">
        <f aca="false">PMT(B4,E4,-1)</f>
        <v>0.0484542558462612</v>
      </c>
      <c r="H4" s="19" t="n">
        <f aca="false">C4*(D4+G4)/(8760*F4*1)</f>
        <v>64.4047597095486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  <Company>Utrecht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2025-02-22T22:15:39Z</dcterms:created>
  <dc:creator>Bertoni, L. (Luca)</dc:creator>
  <dc:description/>
  <dc:language>en-US</dc:language>
  <cp:lastModifiedBy/>
  <dcterms:modified xsi:type="dcterms:W3CDTF">2026-01-20T19:18:05Z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