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0954659\PycharmProjects\DrinDrin---Mix-energetico\dati_casoStudioItalia\network_data\"/>
    </mc:Choice>
  </mc:AlternateContent>
  <xr:revisionPtr revIDLastSave="0" documentId="13_ncr:1_{297951F7-27B4-4AF8-8AD6-A0EBB2AB481D}" xr6:coauthVersionLast="47" xr6:coauthVersionMax="47" xr10:uidLastSave="{00000000-0000-0000-0000-000000000000}"/>
  <bookViews>
    <workbookView xWindow="-108" yWindow="-108" windowWidth="23256" windowHeight="12456" xr2:uid="{00000000-000D-0000-FFFF-FFFF00000000}"/>
  </bookViews>
  <sheets>
    <sheet name="riassunto" sheetId="3" r:id="rId1"/>
    <sheet name="calcolo" sheetId="1" r:id="rId2"/>
    <sheet name="dati costi" sheetId="2" r:id="rId3"/>
  </sheets>
  <definedNames>
    <definedName name="solver_adj" localSheetId="1" hidden="1">calcolo!$E$8,calcolo!$F$8,calcolo!$H$8</definedName>
    <definedName name="solver_cvg" localSheetId="1" hidden="1">"""""""""""""""""""""""""""""""""""""""""""""""""""""""""""""""""""""""""""""""""""""""""""""""""""""""""""""""""""""""""""""""0,0001"""""""""""""""""""""""""""""""""""""""""""""""""""""""""""""""""""""""""""""""""""""""""""""""""""""""""""""""""""""""""""""""</definedName>
    <definedName name="solver_drv" localSheetId="1" hidden="1">2</definedName>
    <definedName name="solver_eng" localSheetId="1" hidden="1">3</definedName>
    <definedName name="solver_est" localSheetId="1" hidden="1">1</definedName>
    <definedName name="solver_itr" localSheetId="1" hidden="1">2147483647</definedName>
    <definedName name="solver_lhs1" localSheetId="1" hidden="1">calcolo!$E$8</definedName>
    <definedName name="solver_lhs2" localSheetId="1" hidden="1">calcolo!$F$8</definedName>
    <definedName name="solver_lhs3" localSheetId="1" hidden="1">calcolo!$G$8</definedName>
    <definedName name="solver_lhs4" localSheetId="1" hidden="1">calcolo!$H$8</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4</definedName>
    <definedName name="solver_nwt" localSheetId="1" hidden="1">1</definedName>
    <definedName name="solver_opt" localSheetId="1" hidden="1">calcolo!$M$9</definedName>
    <definedName name="solver_pre" localSheetId="1" hidden="1">"""""""""""""""""""""""""""""""""""""""""""""""""""""""""""""""""""""""""""""""""""""""""""""""""""""""""""""""""""""""""""""""0,000001"""""""""""""""""""""""""""""""""""""""""""""""""""""""""""""""""""""""""""""""""""""""""""""""""""""""""""""""""""""""""""""""</definedName>
    <definedName name="solver_rbv" localSheetId="1" hidden="1">2</definedName>
    <definedName name="solver_rel1" localSheetId="1" hidden="1">3</definedName>
    <definedName name="solver_rel2" localSheetId="1" hidden="1">3</definedName>
    <definedName name="solver_rel3" localSheetId="1" hidden="1">3</definedName>
    <definedName name="solver_rel4" localSheetId="1" hidden="1">3</definedName>
    <definedName name="solver_rhs1" localSheetId="1" hidden="1">0</definedName>
    <definedName name="solver_rhs2" localSheetId="1" hidden="1">0</definedName>
    <definedName name="solver_rhs3" localSheetId="1" hidden="1">0</definedName>
    <definedName name="solver_rhs4" localSheetId="1" hidden="1">0</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1</definedName>
    <definedName name="solver_typ" localSheetId="1" hidden="1">2</definedName>
    <definedName name="solver_val" localSheetId="1" hidden="1">0</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B8" i="3"/>
  <c r="C8" i="3"/>
  <c r="D8" i="3"/>
  <c r="E3" i="1"/>
  <c r="E14" i="1" s="1"/>
  <c r="F3" i="1"/>
  <c r="F14" i="1" s="1"/>
  <c r="G3" i="1"/>
  <c r="G14" i="1" s="1"/>
  <c r="H3" i="1"/>
  <c r="J3" i="1" s="1"/>
  <c r="E4" i="1"/>
  <c r="E15" i="1" s="1"/>
  <c r="F4" i="1"/>
  <c r="F15" i="1" s="1"/>
  <c r="G4" i="1"/>
  <c r="G15" i="1" s="1"/>
  <c r="H4" i="1"/>
  <c r="J4" i="1" s="1"/>
  <c r="E5" i="1"/>
  <c r="E16" i="1" s="1"/>
  <c r="F5" i="1"/>
  <c r="F16" i="1" s="1"/>
  <c r="G5" i="1"/>
  <c r="G16" i="1" s="1"/>
  <c r="H5" i="1"/>
  <c r="J5" i="1" s="1"/>
  <c r="E6" i="1"/>
  <c r="F6" i="1"/>
  <c r="G6" i="1"/>
  <c r="H6" i="1"/>
  <c r="J6" i="1" s="1"/>
  <c r="F2" i="1"/>
  <c r="F13" i="1" s="1"/>
  <c r="G2" i="1"/>
  <c r="G13" i="1" s="1"/>
  <c r="H2" i="1"/>
  <c r="J2" i="1" s="1"/>
  <c r="E2" i="1"/>
  <c r="E13" i="1" s="1"/>
  <c r="M5" i="2"/>
  <c r="M7" i="2"/>
  <c r="M6" i="2"/>
  <c r="H13" i="1" l="1"/>
  <c r="H17" i="1" s="1"/>
  <c r="H15" i="1"/>
  <c r="E19" i="1" s="1"/>
  <c r="H16" i="1"/>
  <c r="F20" i="1" s="1"/>
  <c r="H14" i="1"/>
  <c r="G18" i="1" s="1"/>
  <c r="K2" i="1"/>
  <c r="K6" i="1"/>
  <c r="K4" i="1"/>
  <c r="K5" i="1"/>
  <c r="K3" i="1"/>
  <c r="G17" i="1" l="1"/>
  <c r="G19" i="1"/>
  <c r="F17" i="1"/>
  <c r="E17" i="1"/>
  <c r="F18" i="1"/>
  <c r="H19" i="1"/>
  <c r="E18" i="1"/>
  <c r="F19" i="1"/>
  <c r="H20" i="1"/>
  <c r="G20" i="1"/>
  <c r="E20" i="1"/>
  <c r="H18" i="1"/>
  <c r="L5" i="1"/>
  <c r="M5" i="1" s="1"/>
  <c r="L3" i="1"/>
  <c r="M3" i="1" s="1"/>
  <c r="L4" i="1"/>
  <c r="M4" i="1" s="1"/>
  <c r="L2" i="1"/>
  <c r="M2" i="1" s="1"/>
  <c r="M9" i="1" l="1"/>
  <c r="M8" i="1"/>
</calcChain>
</file>

<file path=xl/sharedStrings.xml><?xml version="1.0" encoding="utf-8"?>
<sst xmlns="http://schemas.openxmlformats.org/spreadsheetml/2006/main" count="86" uniqueCount="67">
  <si>
    <t>y1</t>
  </si>
  <si>
    <t>y2</t>
  </si>
  <si>
    <t>y3</t>
  </si>
  <si>
    <t>y4</t>
  </si>
  <si>
    <t>S</t>
  </si>
  <si>
    <t>D</t>
  </si>
  <si>
    <t>Progetto</t>
  </si>
  <si>
    <t>Note</t>
  </si>
  <si>
    <t>source</t>
  </si>
  <si>
    <t>https://download.terna.it/terna/Terna_Piano_Sviluppo_2023_Documento_Metodologico_applicazione_analisi_costi_benefici_8db254c3b3edff1.pdf</t>
  </si>
  <si>
    <t>Elettrodotto DT 380 kV</t>
  </si>
  <si>
    <t>Elemento</t>
  </si>
  <si>
    <t>Costo [k€/km]</t>
  </si>
  <si>
    <t xml:space="preserve">sistema monitoraggio cavo 380 </t>
  </si>
  <si>
    <t>Costo [k€/CAD]</t>
  </si>
  <si>
    <t>sistema monitoraggio cavo (Unità centrale)</t>
  </si>
  <si>
    <t>Coppia terminale collegamento in cavo 380x6</t>
  </si>
  <si>
    <t>cavi 380 kV x 6 (1200 MVA?)</t>
  </si>
  <si>
    <t>Stallo 380 kV ATR (AIS)</t>
  </si>
  <si>
    <t>ATR 380/150-132kV da 250MVA</t>
  </si>
  <si>
    <t>ATR 400/155kV da 400MVA</t>
  </si>
  <si>
    <t>COMPENSATORE SINCRONO (COPPIA) 250MVA</t>
  </si>
  <si>
    <t>COMPENSATORE SINCRONO (SINGOLO) 250MVA</t>
  </si>
  <si>
    <t xml:space="preserve">REATTORE 380 kV </t>
  </si>
  <si>
    <t>Sbarre e Parallelo Sbarre 380 kV (AIS)</t>
  </si>
  <si>
    <t>Ipotesi semplificativa</t>
  </si>
  <si>
    <t>costo / MVA / km</t>
  </si>
  <si>
    <t xml:space="preserve">  </t>
  </si>
  <si>
    <t xml:space="preserve">y2 </t>
  </si>
  <si>
    <t>dato</t>
  </si>
  <si>
    <t>costo / MVA</t>
  </si>
  <si>
    <t>Acquisto aree per stazione elettrica - ambito urbanizzato (1 ha)</t>
  </si>
  <si>
    <t>fabbricato integrato</t>
  </si>
  <si>
    <t>Stazione di Trasformazione - Parti Comuni SAS, SA e SG (380/150kV op 380/220kV)</t>
  </si>
  <si>
    <t>stima 2</t>
  </si>
  <si>
    <t>tyrrenian</t>
  </si>
  <si>
    <t>entrambe le tratte</t>
  </si>
  <si>
    <t>CAPEX declared k€</t>
  </si>
  <si>
    <t>capex cavi</t>
  </si>
  <si>
    <t>capex total estimate</t>
  </si>
  <si>
    <t>GRITA2</t>
  </si>
  <si>
    <t>Adriatic</t>
  </si>
  <si>
    <t>Piossasco Grand ile</t>
  </si>
  <si>
    <t>CAPEX sources</t>
  </si>
  <si>
    <t>https://www.terna.it/it/media/comunicati-stampa/dettaglio/finanziamento-bei-tyrrhenian-link</t>
  </si>
  <si>
    <t>https://www.ilsole24ore.com/art/terna-dall-interconnessione-la-grecia-all-adriatic-link-cosi-gruppo-ridisegna-e-rafforza-rete-elettrica-AFgTfXdC</t>
  </si>
  <si>
    <t>TUNITA</t>
  </si>
  <si>
    <t>Error%</t>
  </si>
  <si>
    <t>Descrizione calcolo e assumptions:</t>
  </si>
  <si>
    <t>MEAN</t>
  </si>
  <si>
    <t>MAE</t>
  </si>
  <si>
    <t>cost breakdown</t>
  </si>
  <si>
    <t>S&amp;D</t>
  </si>
  <si>
    <t>Fixed</t>
  </si>
  <si>
    <t>%</t>
  </si>
  <si>
    <t>MAX</t>
  </si>
  <si>
    <t>risultati ottimizzazione libera</t>
  </si>
  <si>
    <t>Mi sono basato sui dati pubblici riferiti ai principali progetti di interconnessione HVDC pianificati da Terna.
Si ritiene corretto utilizzare dati relativi ad HVDC in quanto:
-il grosso del piano di sviluppo Terna punta proprio su questo tipo di tecnologia (probabilmente perché per linee di grossa potenza risulta più facile sfruttare corridoi marini/sotterranei piuttosto che sviluppare molti chilometri di linee aeree che impattano su numerose località/abitazioni/attività)
-i costi di sistemi HVDC sono tipicamente più elevati di quelli di sistemi AC, quindi utilizzare questi dati rappresenta una stima conservativa dei costi (ovvero se l'aumento di transito di potenza fra zone fosse in realtà effettuato con un misto di HVDC + AC, i costi risulterebbero più bassi di quelli stimati in questo modo)
Sulla base di questi costi ho ottimizzato i parametri con il solver di excel. in un secondo momento ho preferito banalizzare il termine Y3 = 0, per semplificare il problema e perché ritengo che comunque il termine y4 già tiene conto correttamente di distanza e potenza. Ho poi aggiustato manualmente i parametri per spostare il costo più su y2 che su y1, in modo che il modello tenga più conto dell'aumentare del costo all'aumentare della potenza richiesta.</t>
  </si>
  <si>
    <t>Parametr
Ottimizzatii---&gt;</t>
  </si>
  <si>
    <t>k€</t>
  </si>
  <si>
    <t>k€/MW</t>
  </si>
  <si>
    <t>k€/km</t>
  </si>
  <si>
    <t>k€/(MW*km)</t>
  </si>
  <si>
    <t>€</t>
  </si>
  <si>
    <t>€/MW</t>
  </si>
  <si>
    <t>€/km</t>
  </si>
  <si>
    <t>€/(MW*km)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</si>
</sst>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2" borderId="0" xfId="0" applyFill="1"/>
    <xf numFmtId="10" fontId="0" fillId="0" borderId="0" xfId="1" applyNumberFormat="1" applyFont="1"/>
    <xf numFmtId="0" fontId="0" fillId="0" borderId="0" xfId="0" applyAlignment="1">
      <alignment wrapText="1"/>
    </xf>
    <xf numFmtId="10" fontId="0" fillId="0" borderId="0" xfId="0" applyNumberFormat="1"/>
    <xf numFmtId="1" fontId="0" fillId="0" borderId="0" xfId="0" applyNumberFormat="1"/>
    <xf numFmtId="165" fontId="0" fillId="0" borderId="0" xfId="1" applyNumberFormat="1" applyFont="1"/>
    <xf numFmtId="164" fontId="0" fillId="3" borderId="0" xfId="0" applyNumberFormat="1" applyFill="1"/>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9</xdr:row>
      <xdr:rowOff>723900</xdr:rowOff>
    </xdr:from>
    <xdr:to>
      <xdr:col>9</xdr:col>
      <xdr:colOff>428625</xdr:colOff>
      <xdr:row>9</xdr:row>
      <xdr:rowOff>2257425</xdr:rowOff>
    </xdr:to>
    <xdr:pic>
      <xdr:nvPicPr>
        <xdr:cNvPr id="2" name="Immagine 1" descr="Image">
          <a:extLst>
            <a:ext uri="{FF2B5EF4-FFF2-40B4-BE49-F238E27FC236}">
              <a16:creationId xmlns:a16="http://schemas.microsoft.com/office/drawing/2014/main" id="{4429AF5F-18FF-74E9-A131-1AE4C6E7E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438400"/>
          <a:ext cx="7400925"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9A16-0C24-4041-B50D-30183FB253D3}">
  <dimension ref="A1:D9"/>
  <sheetViews>
    <sheetView tabSelected="1" workbookViewId="0">
      <selection activeCell="D8" sqref="D8"/>
    </sheetView>
  </sheetViews>
  <sheetFormatPr defaultRowHeight="14.4" x14ac:dyDescent="0.3"/>
  <cols>
    <col min="1" max="1" width="10" bestFit="1" customWidth="1"/>
    <col min="3" max="3" width="10.5546875" customWidth="1"/>
    <col min="4" max="4" width="11.5546875" bestFit="1" customWidth="1"/>
    <col min="7" max="7" width="10" bestFit="1" customWidth="1"/>
  </cols>
  <sheetData>
    <row r="1" spans="1:4" x14ac:dyDescent="0.3">
      <c r="A1" t="s">
        <v>0</v>
      </c>
      <c r="B1" t="s">
        <v>1</v>
      </c>
      <c r="C1" t="s">
        <v>2</v>
      </c>
      <c r="D1" t="s">
        <v>3</v>
      </c>
    </row>
    <row r="2" spans="1:4" x14ac:dyDescent="0.3">
      <c r="A2">
        <v>300000</v>
      </c>
      <c r="B2">
        <v>200</v>
      </c>
      <c r="C2">
        <v>0</v>
      </c>
      <c r="D2">
        <v>3.3333327936166528</v>
      </c>
    </row>
    <row r="3" spans="1:4" x14ac:dyDescent="0.3">
      <c r="A3" t="s">
        <v>59</v>
      </c>
      <c r="B3" t="s">
        <v>60</v>
      </c>
      <c r="C3" t="s">
        <v>61</v>
      </c>
      <c r="D3" t="s">
        <v>62</v>
      </c>
    </row>
    <row r="7" spans="1:4" x14ac:dyDescent="0.3">
      <c r="A7" t="s">
        <v>0</v>
      </c>
      <c r="B7" t="s">
        <v>1</v>
      </c>
      <c r="C7" t="s">
        <v>2</v>
      </c>
      <c r="D7" t="s">
        <v>3</v>
      </c>
    </row>
    <row r="8" spans="1:4" x14ac:dyDescent="0.3">
      <c r="A8">
        <f>A2*10^3</f>
        <v>300000000</v>
      </c>
      <c r="B8">
        <f>B2*10^3</f>
        <v>200000</v>
      </c>
      <c r="C8">
        <f t="shared" ref="B8:D8" si="0">C2*10^3</f>
        <v>0</v>
      </c>
      <c r="D8">
        <f t="shared" si="0"/>
        <v>3333.3327936166529</v>
      </c>
    </row>
    <row r="9" spans="1:4" x14ac:dyDescent="0.3">
      <c r="A9" t="s">
        <v>63</v>
      </c>
      <c r="B9" t="s">
        <v>64</v>
      </c>
      <c r="C9" t="s">
        <v>65</v>
      </c>
      <c r="D9" t="s">
        <v>66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opLeftCell="A8" workbookViewId="0">
      <selection activeCell="K1" sqref="K1"/>
    </sheetView>
  </sheetViews>
  <sheetFormatPr defaultRowHeight="14.4" x14ac:dyDescent="0.3"/>
  <cols>
    <col min="1" max="1" width="18.109375" bestFit="1" customWidth="1"/>
    <col min="4" max="4" width="16.6640625" customWidth="1"/>
    <col min="9" max="9" width="17.5546875" bestFit="1" customWidth="1"/>
    <col min="10" max="10" width="10" bestFit="1" customWidth="1"/>
    <col min="11" max="11" width="19.33203125" bestFit="1" customWidth="1"/>
    <col min="12" max="13" width="19.33203125" customWidth="1"/>
    <col min="14" max="14" width="88.88671875" bestFit="1" customWidth="1"/>
  </cols>
  <sheetData>
    <row r="1" spans="1:14" x14ac:dyDescent="0.3">
      <c r="A1" t="s">
        <v>6</v>
      </c>
      <c r="B1" t="s">
        <v>7</v>
      </c>
      <c r="C1" t="s">
        <v>4</v>
      </c>
      <c r="D1" t="s">
        <v>5</v>
      </c>
      <c r="E1" t="s">
        <v>0</v>
      </c>
      <c r="F1" t="s">
        <v>1</v>
      </c>
      <c r="G1" t="s">
        <v>2</v>
      </c>
      <c r="H1" t="s">
        <v>3</v>
      </c>
      <c r="I1" t="s">
        <v>37</v>
      </c>
      <c r="J1" t="s">
        <v>38</v>
      </c>
      <c r="K1" t="s">
        <v>39</v>
      </c>
      <c r="L1" t="s">
        <v>47</v>
      </c>
      <c r="M1" t="s">
        <v>50</v>
      </c>
      <c r="N1" t="s">
        <v>43</v>
      </c>
    </row>
    <row r="2" spans="1:14" x14ac:dyDescent="0.3">
      <c r="A2" t="s">
        <v>35</v>
      </c>
      <c r="B2" t="s">
        <v>36</v>
      </c>
      <c r="C2">
        <v>1000</v>
      </c>
      <c r="D2">
        <v>970</v>
      </c>
      <c r="E2" s="1">
        <f>E$8</f>
        <v>300000</v>
      </c>
      <c r="F2" s="1">
        <f t="shared" ref="F2:H6" si="0">F$8</f>
        <v>200</v>
      </c>
      <c r="G2" s="1">
        <f t="shared" si="0"/>
        <v>0</v>
      </c>
      <c r="H2" s="1">
        <f t="shared" si="0"/>
        <v>3.3333327936166528</v>
      </c>
      <c r="I2">
        <v>3700000</v>
      </c>
      <c r="J2">
        <f>D2*C2*H2</f>
        <v>3233332.8098081532</v>
      </c>
      <c r="K2">
        <f>E2+F2*C2+G2*D2+H2*C2*D2</f>
        <v>3733332.8098081532</v>
      </c>
      <c r="L2" s="2">
        <f>(K2-I2)/I2</f>
        <v>9.0088675157170787E-3</v>
      </c>
      <c r="M2" s="2">
        <f>ABS(L2)</f>
        <v>9.0088675157170787E-3</v>
      </c>
      <c r="N2" t="s">
        <v>44</v>
      </c>
    </row>
    <row r="3" spans="1:14" x14ac:dyDescent="0.3">
      <c r="A3" t="s">
        <v>40</v>
      </c>
      <c r="C3">
        <v>500</v>
      </c>
      <c r="D3">
        <v>200</v>
      </c>
      <c r="E3" s="1">
        <f t="shared" ref="E3:E6" si="1">E$8</f>
        <v>300000</v>
      </c>
      <c r="F3" s="1">
        <f t="shared" si="0"/>
        <v>200</v>
      </c>
      <c r="G3" s="1">
        <f t="shared" si="0"/>
        <v>0</v>
      </c>
      <c r="H3" s="1">
        <f t="shared" si="0"/>
        <v>3.3333327936166528</v>
      </c>
      <c r="I3">
        <v>750000</v>
      </c>
      <c r="J3">
        <f>D3*C3*H3</f>
        <v>333333.27936166531</v>
      </c>
      <c r="K3">
        <f t="shared" ref="K3:K6" si="2">E3+F3*C3+G3*D3+H3*C3*D3</f>
        <v>733333.27936166525</v>
      </c>
      <c r="L3" s="2">
        <f t="shared" ref="L3:L5" si="3">(K3-I3)/I3</f>
        <v>-2.2222294184446333E-2</v>
      </c>
      <c r="M3" s="2">
        <f t="shared" ref="M3:M5" si="4">ABS(L3)</f>
        <v>2.2222294184446333E-2</v>
      </c>
      <c r="N3" t="s">
        <v>45</v>
      </c>
    </row>
    <row r="4" spans="1:14" x14ac:dyDescent="0.3">
      <c r="A4" t="s">
        <v>41</v>
      </c>
      <c r="C4">
        <v>1000</v>
      </c>
      <c r="D4">
        <v>250</v>
      </c>
      <c r="E4" s="1">
        <f t="shared" si="1"/>
        <v>300000</v>
      </c>
      <c r="F4" s="1">
        <f t="shared" si="0"/>
        <v>200</v>
      </c>
      <c r="G4" s="1">
        <f t="shared" si="0"/>
        <v>0</v>
      </c>
      <c r="H4" s="1">
        <f t="shared" si="0"/>
        <v>3.3333327936166528</v>
      </c>
      <c r="I4">
        <v>1300000</v>
      </c>
      <c r="J4">
        <f>D4*C4*H4</f>
        <v>833333.19840416324</v>
      </c>
      <c r="K4">
        <f t="shared" si="2"/>
        <v>1333333.1984041631</v>
      </c>
      <c r="L4" s="2">
        <f t="shared" si="3"/>
        <v>2.5640921849356249E-2</v>
      </c>
      <c r="M4" s="2">
        <f t="shared" si="4"/>
        <v>2.5640921849356249E-2</v>
      </c>
      <c r="N4" t="s">
        <v>45</v>
      </c>
    </row>
    <row r="5" spans="1:14" x14ac:dyDescent="0.3">
      <c r="A5" t="s">
        <v>46</v>
      </c>
      <c r="C5">
        <v>600</v>
      </c>
      <c r="D5">
        <v>220</v>
      </c>
      <c r="E5" s="1">
        <f t="shared" si="1"/>
        <v>300000</v>
      </c>
      <c r="F5" s="1">
        <f t="shared" si="0"/>
        <v>200</v>
      </c>
      <c r="G5" s="1">
        <f t="shared" si="0"/>
        <v>0</v>
      </c>
      <c r="H5" s="1">
        <f t="shared" si="0"/>
        <v>3.3333327936166528</v>
      </c>
      <c r="I5">
        <v>850000</v>
      </c>
      <c r="J5">
        <f>D5*C5*H5</f>
        <v>439999.92875739816</v>
      </c>
      <c r="K5">
        <f t="shared" si="2"/>
        <v>859999.92875739816</v>
      </c>
      <c r="L5" s="2">
        <f t="shared" si="3"/>
        <v>1.1764622067527243E-2</v>
      </c>
      <c r="M5" s="2">
        <f t="shared" si="4"/>
        <v>1.1764622067527243E-2</v>
      </c>
      <c r="N5" t="s">
        <v>45</v>
      </c>
    </row>
    <row r="6" spans="1:14" x14ac:dyDescent="0.3">
      <c r="A6" t="s">
        <v>42</v>
      </c>
      <c r="C6">
        <v>1200</v>
      </c>
      <c r="D6">
        <v>190</v>
      </c>
      <c r="E6" s="1">
        <f t="shared" si="1"/>
        <v>300000</v>
      </c>
      <c r="F6" s="1">
        <f t="shared" si="0"/>
        <v>200</v>
      </c>
      <c r="G6" s="1">
        <f t="shared" si="0"/>
        <v>0</v>
      </c>
      <c r="H6" s="1">
        <f t="shared" si="0"/>
        <v>3.3333327936166528</v>
      </c>
      <c r="J6">
        <f>D6*C6*H6</f>
        <v>759999.87694459688</v>
      </c>
      <c r="K6">
        <f t="shared" si="2"/>
        <v>1299999.8769445969</v>
      </c>
    </row>
    <row r="8" spans="1:14" ht="28.8" x14ac:dyDescent="0.3">
      <c r="D8" s="3" t="s">
        <v>58</v>
      </c>
      <c r="E8" s="7">
        <v>300000</v>
      </c>
      <c r="F8" s="7">
        <v>200</v>
      </c>
      <c r="G8" s="7">
        <v>0</v>
      </c>
      <c r="H8" s="7">
        <v>3.3333327936166528</v>
      </c>
      <c r="L8" t="s">
        <v>55</v>
      </c>
      <c r="M8" s="4">
        <f>MAX(M2:M5)</f>
        <v>2.5640921849356249E-2</v>
      </c>
    </row>
    <row r="9" spans="1:14" x14ac:dyDescent="0.3">
      <c r="L9" t="s">
        <v>49</v>
      </c>
      <c r="M9" s="4">
        <f>AVERAGE(M2:M5)</f>
        <v>1.7159176404261726E-2</v>
      </c>
      <c r="N9" t="s">
        <v>48</v>
      </c>
    </row>
    <row r="10" spans="1:14" ht="216" x14ac:dyDescent="0.3">
      <c r="N10" s="3" t="s">
        <v>57</v>
      </c>
    </row>
    <row r="11" spans="1:14" x14ac:dyDescent="0.3">
      <c r="E11" t="s">
        <v>51</v>
      </c>
    </row>
    <row r="12" spans="1:14" x14ac:dyDescent="0.3">
      <c r="E12" t="s">
        <v>53</v>
      </c>
      <c r="F12" t="s">
        <v>4</v>
      </c>
      <c r="G12" t="s">
        <v>5</v>
      </c>
      <c r="H12" t="s">
        <v>52</v>
      </c>
    </row>
    <row r="13" spans="1:14" x14ac:dyDescent="0.3">
      <c r="E13" s="5">
        <f>E2</f>
        <v>300000</v>
      </c>
      <c r="F13" s="5">
        <f t="shared" ref="F13:G16" si="5">F2*C2</f>
        <v>200000</v>
      </c>
      <c r="G13" s="5">
        <f t="shared" si="5"/>
        <v>0</v>
      </c>
      <c r="H13" s="5">
        <f>H2*C2*D2</f>
        <v>3233332.8098081532</v>
      </c>
    </row>
    <row r="14" spans="1:14" x14ac:dyDescent="0.3">
      <c r="E14" s="5">
        <f>E3</f>
        <v>300000</v>
      </c>
      <c r="F14" s="5">
        <f t="shared" si="5"/>
        <v>100000</v>
      </c>
      <c r="G14" s="5">
        <f t="shared" si="5"/>
        <v>0</v>
      </c>
      <c r="H14" s="5">
        <f>H3*C3*D3</f>
        <v>333333.27936166531</v>
      </c>
    </row>
    <row r="15" spans="1:14" x14ac:dyDescent="0.3">
      <c r="E15" s="5">
        <f>E4</f>
        <v>300000</v>
      </c>
      <c r="F15" s="5">
        <f t="shared" si="5"/>
        <v>200000</v>
      </c>
      <c r="G15" s="5">
        <f t="shared" si="5"/>
        <v>0</v>
      </c>
      <c r="H15" s="5">
        <f>H4*C4*D4</f>
        <v>833333.19840416324</v>
      </c>
    </row>
    <row r="16" spans="1:14" x14ac:dyDescent="0.3">
      <c r="E16" s="5">
        <f>E5</f>
        <v>300000</v>
      </c>
      <c r="F16" s="5">
        <f t="shared" si="5"/>
        <v>120000</v>
      </c>
      <c r="G16" s="5">
        <f t="shared" si="5"/>
        <v>0</v>
      </c>
      <c r="H16" s="5">
        <f>H5*C5*D5</f>
        <v>439999.92875739816</v>
      </c>
    </row>
    <row r="17" spans="3:8" x14ac:dyDescent="0.3">
      <c r="D17" t="s">
        <v>54</v>
      </c>
      <c r="E17" s="6">
        <f>E13/(SUM($E13:$H13))</f>
        <v>8.035715412562329E-2</v>
      </c>
      <c r="F17" s="6">
        <f t="shared" ref="F17:H17" si="6">F13/(SUM($E13:$H13))</f>
        <v>5.3571436083748855E-2</v>
      </c>
      <c r="G17" s="6">
        <f t="shared" si="6"/>
        <v>0</v>
      </c>
      <c r="H17" s="6">
        <f t="shared" si="6"/>
        <v>0.86607140979062791</v>
      </c>
    </row>
    <row r="18" spans="3:8" x14ac:dyDescent="0.3">
      <c r="E18" s="6">
        <f t="shared" ref="E18:H18" si="7">E14/(SUM($E14:$H14))</f>
        <v>0.40909093919907324</v>
      </c>
      <c r="F18" s="6">
        <f t="shared" si="7"/>
        <v>0.13636364639969109</v>
      </c>
      <c r="G18" s="6">
        <f t="shared" si="7"/>
        <v>0</v>
      </c>
      <c r="H18" s="6">
        <f t="shared" si="7"/>
        <v>0.45454541440123575</v>
      </c>
    </row>
    <row r="19" spans="3:8" x14ac:dyDescent="0.3">
      <c r="E19" s="6">
        <f t="shared" ref="E19:H19" si="8">E15/(SUM($E15:$H15))</f>
        <v>0.22500002276929978</v>
      </c>
      <c r="F19" s="6">
        <f t="shared" si="8"/>
        <v>0.15000001517953318</v>
      </c>
      <c r="G19" s="6">
        <f t="shared" si="8"/>
        <v>0</v>
      </c>
      <c r="H19" s="6">
        <f t="shared" si="8"/>
        <v>0.62499996205116715</v>
      </c>
    </row>
    <row r="20" spans="3:8" x14ac:dyDescent="0.3">
      <c r="E20" s="6">
        <f t="shared" ref="E20:H20" si="9">E16/(SUM($E16:$H16))</f>
        <v>0.34883723820008428</v>
      </c>
      <c r="F20" s="6">
        <f t="shared" si="9"/>
        <v>0.13953489528003371</v>
      </c>
      <c r="G20" s="6">
        <f t="shared" si="9"/>
        <v>0</v>
      </c>
      <c r="H20" s="6">
        <f t="shared" si="9"/>
        <v>0.51162786651988201</v>
      </c>
    </row>
    <row r="22" spans="3:8" x14ac:dyDescent="0.3">
      <c r="C22" s="8" t="s">
        <v>56</v>
      </c>
      <c r="D22" s="8"/>
      <c r="E22" s="8"/>
      <c r="F22" s="8"/>
    </row>
    <row r="23" spans="3:8" x14ac:dyDescent="0.3">
      <c r="C23" t="s">
        <v>0</v>
      </c>
      <c r="D23" t="s">
        <v>1</v>
      </c>
      <c r="E23" t="s">
        <v>2</v>
      </c>
      <c r="F23" t="s">
        <v>3</v>
      </c>
    </row>
    <row r="24" spans="3:8" x14ac:dyDescent="0.3">
      <c r="C24">
        <v>409107.04084647918</v>
      </c>
      <c r="D24">
        <v>1.8</v>
      </c>
      <c r="E24">
        <v>8.9898522653981239</v>
      </c>
      <c r="F24">
        <v>3.3817958684822615</v>
      </c>
    </row>
  </sheetData>
  <mergeCells count="1">
    <mergeCell ref="C22:F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5B36-4EE4-49C6-96ED-7F79465A0024}">
  <dimension ref="A1:M16"/>
  <sheetViews>
    <sheetView workbookViewId="0">
      <selection activeCell="F34" sqref="F34"/>
    </sheetView>
  </sheetViews>
  <sheetFormatPr defaultRowHeight="14.4" x14ac:dyDescent="0.3"/>
  <cols>
    <col min="1" max="1" width="29.88671875" customWidth="1"/>
    <col min="2" max="2" width="13.88671875" customWidth="1"/>
    <col min="6" max="6" width="74.5546875" bestFit="1" customWidth="1"/>
    <col min="7" max="7" width="14.5546875" bestFit="1" customWidth="1"/>
    <col min="11" max="11" width="20.33203125" bestFit="1" customWidth="1"/>
    <col min="12" max="12" width="16.33203125" bestFit="1" customWidth="1"/>
  </cols>
  <sheetData>
    <row r="1" spans="1:13" x14ac:dyDescent="0.3">
      <c r="A1" t="s">
        <v>8</v>
      </c>
    </row>
    <row r="2" spans="1:13" x14ac:dyDescent="0.3">
      <c r="A2" t="s">
        <v>9</v>
      </c>
    </row>
    <row r="4" spans="1:13" x14ac:dyDescent="0.3">
      <c r="A4" t="s">
        <v>11</v>
      </c>
      <c r="B4" t="s">
        <v>12</v>
      </c>
      <c r="F4" t="s">
        <v>11</v>
      </c>
      <c r="G4" t="s">
        <v>14</v>
      </c>
      <c r="K4" t="s">
        <v>25</v>
      </c>
      <c r="L4" t="s">
        <v>29</v>
      </c>
    </row>
    <row r="5" spans="1:13" x14ac:dyDescent="0.3">
      <c r="A5" t="s">
        <v>10</v>
      </c>
      <c r="B5">
        <v>964</v>
      </c>
      <c r="F5" t="s">
        <v>15</v>
      </c>
      <c r="G5">
        <v>592</v>
      </c>
      <c r="K5" t="s">
        <v>3</v>
      </c>
      <c r="L5" t="s">
        <v>26</v>
      </c>
      <c r="M5">
        <f>(B6+B7)/1200</f>
        <v>4.2941666666666665</v>
      </c>
    </row>
    <row r="6" spans="1:13" x14ac:dyDescent="0.3">
      <c r="A6" t="s">
        <v>17</v>
      </c>
      <c r="B6">
        <v>5059</v>
      </c>
      <c r="F6" t="s">
        <v>16</v>
      </c>
      <c r="G6">
        <v>1220</v>
      </c>
      <c r="K6" t="s">
        <v>28</v>
      </c>
      <c r="L6" t="s">
        <v>30</v>
      </c>
      <c r="M6">
        <f>(G5+G6+G7+G9*6+G10*2+G12*4+G13*2)/1200</f>
        <v>91.454166666666666</v>
      </c>
    </row>
    <row r="7" spans="1:13" x14ac:dyDescent="0.3">
      <c r="A7" t="s">
        <v>13</v>
      </c>
      <c r="B7">
        <v>94</v>
      </c>
      <c r="F7" t="s">
        <v>18</v>
      </c>
      <c r="G7">
        <v>793</v>
      </c>
      <c r="K7" t="s">
        <v>28</v>
      </c>
      <c r="L7" t="s">
        <v>34</v>
      </c>
      <c r="M7">
        <f>G16/1000</f>
        <v>3.6880000000000002</v>
      </c>
    </row>
    <row r="8" spans="1:13" x14ac:dyDescent="0.3">
      <c r="F8" t="s">
        <v>19</v>
      </c>
      <c r="G8">
        <v>1360</v>
      </c>
    </row>
    <row r="9" spans="1:13" x14ac:dyDescent="0.3">
      <c r="F9" t="s">
        <v>20</v>
      </c>
      <c r="G9">
        <v>1540</v>
      </c>
      <c r="K9" t="s">
        <v>27</v>
      </c>
    </row>
    <row r="10" spans="1:13" x14ac:dyDescent="0.3">
      <c r="F10" t="s">
        <v>21</v>
      </c>
      <c r="G10">
        <v>45000</v>
      </c>
    </row>
    <row r="11" spans="1:13" x14ac:dyDescent="0.3">
      <c r="F11" t="s">
        <v>22</v>
      </c>
      <c r="G11">
        <v>27000</v>
      </c>
    </row>
    <row r="12" spans="1:13" x14ac:dyDescent="0.3">
      <c r="F12" t="s">
        <v>23</v>
      </c>
      <c r="G12">
        <v>1510</v>
      </c>
    </row>
    <row r="13" spans="1:13" x14ac:dyDescent="0.3">
      <c r="F13" t="s">
        <v>24</v>
      </c>
      <c r="G13">
        <v>930</v>
      </c>
    </row>
    <row r="14" spans="1:13" x14ac:dyDescent="0.3">
      <c r="F14" t="s">
        <v>31</v>
      </c>
      <c r="G14">
        <v>1275</v>
      </c>
    </row>
    <row r="15" spans="1:13" x14ac:dyDescent="0.3">
      <c r="F15" t="s">
        <v>32</v>
      </c>
      <c r="G15">
        <v>381</v>
      </c>
    </row>
    <row r="16" spans="1:13" x14ac:dyDescent="0.3">
      <c r="F16" t="s">
        <v>33</v>
      </c>
      <c r="G16">
        <v>3688</v>
      </c>
    </row>
  </sheetData>
  <pageMargins left="0.7" right="0.7" top="0.75" bottom="0.75" header="0.3" footer="0.3"/>
</worksheet>
</file>

<file path=docMetadata/LabelInfo.xml><?xml version="1.0" encoding="utf-8"?>
<clbl:labelList xmlns:clbl="http://schemas.microsoft.com/office/2020/mipLabelMetadata">
  <clbl:label id="{d65a070e-ad16-4345-879f-c1de6464f1fb}" enabled="1" method="Privileged" siteId="{eccd734e-7022-4709-aba5-a5dd77929e2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riassunto</vt:lpstr>
      <vt:lpstr>calcolo</vt:lpstr>
      <vt:lpstr>dati costi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 Luca (Terna)</dc:creator>
  <cp:lastModifiedBy>Bertoni, L. (Luca)</cp:lastModifiedBy>
  <dcterms:created xsi:type="dcterms:W3CDTF">2015-06-05T18:19:34Z</dcterms:created>
  <dcterms:modified xsi:type="dcterms:W3CDTF">2025-08-02T15:29:01Z</dcterms:modified>
</cp:coreProperties>
</file>